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Work\EXcel\excel-project-coffee-sales-main\"/>
    </mc:Choice>
  </mc:AlternateContent>
  <xr:revisionPtr revIDLastSave="0" documentId="13_ncr:1_{E806CF0D-4203-4398-8292-A0C1A59460CA}" xr6:coauthVersionLast="47" xr6:coauthVersionMax="47" xr10:uidLastSave="{00000000-0000-0000-0000-000000000000}"/>
  <bookViews>
    <workbookView xWindow="-120" yWindow="-120" windowWidth="38640" windowHeight="21120" xr2:uid="{00000000-000D-0000-FFFF-FFFF00000000}"/>
  </bookViews>
  <sheets>
    <sheet name="Dashboard" sheetId="22" r:id="rId1"/>
    <sheet name="TotalSales" sheetId="18" r:id="rId2"/>
    <sheet name="Country Barchart" sheetId="19"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I3" i="17"/>
  <c r="N3" i="17" s="1" a="1"/>
  <c r="N3" i="17" s="1"/>
  <c r="J3" i="17"/>
  <c r="O3" i="17" s="1" a="1"/>
  <c r="O3" i="17" s="1"/>
  <c r="K3" i="17"/>
  <c r="L3" i="17"/>
  <c r="M3" i="17" s="1"/>
  <c r="J2" i="17"/>
  <c r="O2" i="17" s="1" a="1"/>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<sst xmlns="http://schemas.openxmlformats.org/spreadsheetml/2006/main" count="11128" uniqueCount="6222">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</sst>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44" fontId="0" fillId="0" borderId="0" xfId="0" applyNumberFormat="1"/>
  </cellXfs>
  <cellStyles count="1">
    <cellStyle name="Normal" xfId="0" builtinId="0"/>
  </cellStyles>
  <dxfs count="29">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i val="0"/>
        <sz val="9"/>
        <color theme="0"/>
        <name val="Calibri"/>
        <family val="2"/>
        <scheme val="minor"/>
      </font>
      <fill>
        <patternFill>
          <bgColor rgb="FF3C1478"/>
        </patternFill>
      </fill>
      <border>
        <left style="thin">
          <color theme="0"/>
        </left>
        <right style="thin">
          <color theme="0"/>
        </right>
        <top style="thin">
          <color theme="0"/>
        </top>
        <bottom style="thin">
          <color theme="0"/>
        </bottom>
      </border>
    </dxf>
    <dxf>
      <font>
        <b/>
        <i val="0"/>
        <sz val="11"/>
        <name val="Calibri"/>
        <family val="2"/>
        <scheme val="minor"/>
      </font>
      <fill>
        <patternFill>
          <bgColor rgb="FF3C1478"/>
        </patternFill>
      </fill>
      <border>
        <left style="thin">
          <color auto="1"/>
        </left>
        <right style="thin">
          <color auto="1"/>
        </right>
        <top style="thin">
          <color auto="1"/>
        </top>
        <bottom style="thin">
          <color auto="1"/>
        </bottom>
        <vertical/>
        <horizontal/>
      </bord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font>
        <b/>
        <i val="0"/>
        <sz val="11"/>
        <color theme="0"/>
        <name val="Calibri"/>
        <family val="2"/>
        <scheme val="minor"/>
      </font>
      <fill>
        <patternFill>
          <bgColor rgb="FF3C1478"/>
        </patternFill>
      </fill>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78"/>
        </patternFill>
      </fill>
      <border>
        <left style="thin">
          <color theme="1" tint="-0.499984740745262"/>
        </left>
        <right style="thin">
          <color theme="1" tint="-0.499984740745262"/>
        </right>
        <top style="thin">
          <color theme="1" tint="-0.499984740745262"/>
        </top>
        <bottom style="thin">
          <color theme="1" tint="-0.499984740745262"/>
        </bottom>
      </border>
    </dxf>
    <dxf>
      <numFmt numFmtId="34" formatCode="_(&quot;$&quot;* #,##0.00_);_(&quot;$&quot;* \(#,##0.00\);_(&quot;$&quot;* &quot;-&quot;??_);_(@_)"/>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timeline Style" pivot="0" table="0" count="8" xr9:uid="{49F8C9B2-1033-46A7-848D-587F759687BF}">
      <tableStyleElement type="wholeTable" dxfId="16"/>
      <tableStyleElement type="headerRow" dxfId="15"/>
    </tableStyle>
    <tableStyle name="Slicer Style Purple" pivot="0" table="0" count="6" xr9:uid="{18706C6A-6FB8-4A2B-BAFE-7BADCF403481}">
      <tableStyleElement type="wholeTable" dxfId="9"/>
      <tableStyleElement type="headerRow" dxfId="8"/>
    </tableStyle>
  </tableStyles>
  <colors>
    <mruColors>
      <color rgb="FF3C1478"/>
      <color rgb="FFC9A5ED"/>
      <color rgb="FFE2CFF5"/>
      <color rgb="FFA0CC82"/>
      <color rgb="FF517D33"/>
      <color rgb="FF273C18"/>
      <color rgb="FFA24A0E"/>
      <color rgb="FFC85C12"/>
      <color rgb="FFAD4F0F"/>
      <color rgb="FF3C1464"/>
    </mruColors>
  </colors>
  <extLst>
    <ext xmlns:x14="http://schemas.microsoft.com/office/spreadsheetml/2009/9/main" uri="{46F421CA-312F-682f-3DD2-61675219B42D}">
      <x14:dxfs count="8">
        <dxf>
          <font>
            <b/>
            <i val="0"/>
            <sz val="9"/>
            <color theme="0"/>
            <name val="Calibri"/>
            <family val="2"/>
            <scheme val="minor"/>
          </font>
          <fill>
            <patternFill patternType="none">
              <bgColor auto="1"/>
            </patternFill>
          </fill>
          <border>
            <left style="thin">
              <color auto="1"/>
            </left>
            <right style="thin">
              <color auto="1"/>
            </right>
            <top style="thin">
              <color auto="1"/>
            </top>
            <bottom style="thin">
              <color auto="1"/>
            </bottom>
          </border>
        </dxf>
        <dxf>
          <font>
            <b/>
            <i val="0"/>
            <sz val="9"/>
            <color theme="0"/>
            <name val="Calibri"/>
            <family val="2"/>
            <scheme val="minor"/>
          </font>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fill>
            <patternFill patternType="none">
              <bgColor auto="1"/>
            </patternFill>
          </fill>
          <border>
            <left style="thin">
              <color auto="1"/>
            </left>
            <right style="thin">
              <color auto="1"/>
            </right>
            <top style="thin">
              <color auto="1"/>
            </top>
            <bottom style="thin">
              <color auto="1"/>
            </bottom>
          </border>
        </dxf>
        <dxf>
          <font>
            <b/>
            <i val="0"/>
            <sz val="9"/>
            <color theme="0"/>
            <name val="Calibri"/>
            <family val="2"/>
            <scheme val="minor"/>
          </font>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x14:dxfs>
    </ext>
    <ext xmlns:x14="http://schemas.microsoft.com/office/spreadsheetml/2009/9/main" uri="{EB79DEF2-80B8-43e5-95BD-54CBDDF9020C}">
      <x14:slicerStyles defaultSlicerStyle="SlicerStyleLight1">
        <x14:slicerStyle name="Slicer Style Purp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6" tint="0.39994506668294322"/>
            </patternFill>
          </fill>
        </dxf>
        <dxf>
          <fill>
            <patternFill patternType="solid">
              <fgColor theme="0"/>
              <bgColor rgb="FFA87BE9"/>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solidFill>
                  <a:srgbClr val="3C1464"/>
                </a:solidFill>
              </a:rPr>
              <a:t>Total SalesO</a:t>
            </a:r>
            <a:r>
              <a:rPr lang="en-IN" baseline="0">
                <a:solidFill>
                  <a:srgbClr val="3C1464"/>
                </a:solidFill>
              </a:rPr>
              <a:t>ver Time</a:t>
            </a:r>
            <a:endParaRPr lang="en-IN">
              <a:solidFill>
                <a:srgbClr val="3C146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_("$"* #,##0.00_);_("$"* \(#,##0.00\);_("$"* "-"??_);_(@_)</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9178-4464-AAE6-38A2FAABB088}"/>
            </c:ext>
          </c:extLst>
        </c:ser>
        <c:ser>
          <c:idx val="1"/>
          <c:order val="1"/>
          <c:tx>
            <c:strRef>
              <c:f>TotalSales!$D$3:$D$4</c:f>
              <c:strCache>
                <c:ptCount val="1"/>
                <c:pt idx="0">
                  <c:v>Excelsa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_("$"* #,##0.00_);_("$"* \(#,##0.00\);_("$"* "-"??_);_(@_)</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9178-4464-AAE6-38A2FAABB088}"/>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_("$"* #,##0.00_);_("$"* \(#,##0.00\);_("$"* "-"??_);_(@_)</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9178-4464-AAE6-38A2FAABB088}"/>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_("$"* #,##0.00_);_("$"* \(#,##0.00\);_("$"* "-"??_);_(@_)</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3-9178-4464-AAE6-38A2FAABB088}"/>
            </c:ext>
          </c:extLst>
        </c:ser>
        <c:dLbls>
          <c:showLegendKey val="0"/>
          <c:showVal val="0"/>
          <c:showCatName val="0"/>
          <c:showSerName val="0"/>
          <c:showPercent val="0"/>
          <c:showBubbleSize val="0"/>
        </c:dLbls>
        <c:smooth val="0"/>
        <c:axId val="1650817888"/>
        <c:axId val="1650815488"/>
      </c:lineChart>
      <c:catAx>
        <c:axId val="1650817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50815488"/>
        <c:crosses val="autoZero"/>
        <c:auto val="1"/>
        <c:lblAlgn val="ctr"/>
        <c:lblOffset val="100"/>
        <c:noMultiLvlLbl val="0"/>
      </c:catAx>
      <c:valAx>
        <c:axId val="16508154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50817888"/>
        <c:crosses val="autoZero"/>
        <c:crossBetween val="between"/>
      </c:valAx>
      <c:spPr>
        <a:solidFill>
          <a:srgbClr val="C9A5ED"/>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A5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Barchart!PivotTable1</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3C18"/>
          </a:solidFill>
          <a:ln w="25400">
            <a:solidFill>
              <a:schemeClr val="bg1"/>
            </a:solidFill>
          </a:ln>
          <a:effectLst/>
        </c:spPr>
      </c:pivotFmt>
      <c:pivotFmt>
        <c:idx val="2"/>
        <c:spPr>
          <a:solidFill>
            <a:srgbClr val="517D33"/>
          </a:solidFill>
          <a:ln w="25400">
            <a:solidFill>
              <a:schemeClr val="bg1"/>
            </a:solidFill>
          </a:ln>
          <a:effectLst/>
        </c:spPr>
      </c:pivotFmt>
      <c:pivotFmt>
        <c:idx val="3"/>
        <c:spPr>
          <a:solidFill>
            <a:srgbClr val="A0CC82"/>
          </a:solidFill>
          <a:ln w="25400">
            <a:solidFill>
              <a:schemeClr val="bg1"/>
            </a:solidFill>
          </a:ln>
          <a:effectLst/>
        </c:spPr>
      </c:pivotFmt>
      <c:pivotFmt>
        <c:idx val="4"/>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0CC82"/>
          </a:solidFill>
          <a:ln w="25400">
            <a:solidFill>
              <a:schemeClr val="bg1"/>
            </a:solidFill>
          </a:ln>
          <a:effectLst/>
        </c:spPr>
      </c:pivotFmt>
      <c:pivotFmt>
        <c:idx val="6"/>
        <c:spPr>
          <a:solidFill>
            <a:srgbClr val="517D33"/>
          </a:solidFill>
          <a:ln w="25400">
            <a:solidFill>
              <a:schemeClr val="bg1"/>
            </a:solidFill>
          </a:ln>
          <a:effectLst/>
        </c:spPr>
      </c:pivotFmt>
      <c:pivotFmt>
        <c:idx val="7"/>
        <c:spPr>
          <a:solidFill>
            <a:srgbClr val="273C18"/>
          </a:solidFill>
          <a:ln w="25400">
            <a:solidFill>
              <a:schemeClr val="bg1"/>
            </a:solidFill>
          </a:ln>
          <a:effectLst/>
        </c:spPr>
      </c:pivotFmt>
      <c:pivotFmt>
        <c:idx val="8"/>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0CC82"/>
          </a:solidFill>
          <a:ln w="25400">
            <a:solidFill>
              <a:schemeClr val="bg1"/>
            </a:solidFill>
          </a:ln>
          <a:effectLst/>
        </c:spPr>
      </c:pivotFmt>
      <c:pivotFmt>
        <c:idx val="10"/>
        <c:spPr>
          <a:solidFill>
            <a:srgbClr val="517D33"/>
          </a:solidFill>
          <a:ln w="25400">
            <a:solidFill>
              <a:schemeClr val="bg1"/>
            </a:solidFill>
          </a:ln>
          <a:effectLst/>
        </c:spPr>
      </c:pivotFmt>
      <c:pivotFmt>
        <c:idx val="11"/>
        <c:spPr>
          <a:solidFill>
            <a:srgbClr val="273C18"/>
          </a:solidFill>
          <a:ln w="25400">
            <a:solidFill>
              <a:schemeClr val="bg1"/>
            </a:solidFill>
          </a:ln>
          <a:effectLst/>
        </c:spPr>
      </c:pivotFmt>
    </c:pivotFmts>
    <c:plotArea>
      <c:layout/>
      <c:barChart>
        <c:barDir val="bar"/>
        <c:grouping val="clustered"/>
        <c:varyColors val="0"/>
        <c:ser>
          <c:idx val="0"/>
          <c:order val="0"/>
          <c:tx>
            <c:strRef>
              <c:f>'Country Barchart'!$B$4</c:f>
              <c:strCache>
                <c:ptCount val="1"/>
                <c:pt idx="0">
                  <c:v>Total</c:v>
                </c:pt>
              </c:strCache>
            </c:strRef>
          </c:tx>
          <c:spPr>
            <a:solidFill>
              <a:schemeClr val="accent2"/>
            </a:solidFill>
            <a:ln w="25400">
              <a:solidFill>
                <a:schemeClr val="bg1"/>
              </a:solidFill>
            </a:ln>
            <a:effectLst/>
          </c:spPr>
          <c:invertIfNegative val="0"/>
          <c:dPt>
            <c:idx val="0"/>
            <c:invertIfNegative val="0"/>
            <c:bubble3D val="0"/>
            <c:spPr>
              <a:solidFill>
                <a:srgbClr val="A0CC82"/>
              </a:solidFill>
              <a:ln w="25400">
                <a:solidFill>
                  <a:schemeClr val="bg1"/>
                </a:solidFill>
              </a:ln>
              <a:effectLst/>
            </c:spPr>
            <c:extLst>
              <c:ext xmlns:c16="http://schemas.microsoft.com/office/drawing/2014/chart" uri="{C3380CC4-5D6E-409C-BE32-E72D297353CC}">
                <c16:uniqueId val="{00000001-70A0-4D7F-AEAA-3108589F2E1C}"/>
              </c:ext>
            </c:extLst>
          </c:dPt>
          <c:dPt>
            <c:idx val="1"/>
            <c:invertIfNegative val="0"/>
            <c:bubble3D val="0"/>
            <c:spPr>
              <a:solidFill>
                <a:srgbClr val="517D33"/>
              </a:solidFill>
              <a:ln w="25400">
                <a:solidFill>
                  <a:schemeClr val="bg1"/>
                </a:solidFill>
              </a:ln>
              <a:effectLst/>
            </c:spPr>
            <c:extLst>
              <c:ext xmlns:c16="http://schemas.microsoft.com/office/drawing/2014/chart" uri="{C3380CC4-5D6E-409C-BE32-E72D297353CC}">
                <c16:uniqueId val="{00000003-70A0-4D7F-AEAA-3108589F2E1C}"/>
              </c:ext>
            </c:extLst>
          </c:dPt>
          <c:dPt>
            <c:idx val="2"/>
            <c:invertIfNegative val="0"/>
            <c:bubble3D val="0"/>
            <c:spPr>
              <a:solidFill>
                <a:srgbClr val="273C18"/>
              </a:solidFill>
              <a:ln w="25400">
                <a:solidFill>
                  <a:schemeClr val="bg1"/>
                </a:solidFill>
              </a:ln>
              <a:effectLst/>
            </c:spPr>
            <c:extLst>
              <c:ext xmlns:c16="http://schemas.microsoft.com/office/drawing/2014/chart" uri="{C3380CC4-5D6E-409C-BE32-E72D297353CC}">
                <c16:uniqueId val="{00000005-70A0-4D7F-AEAA-3108589F2E1C}"/>
              </c:ext>
            </c:extLst>
          </c:dPt>
          <c:cat>
            <c:strRef>
              <c:f>'Country Barchart'!$A$5:$A$7</c:f>
              <c:strCache>
                <c:ptCount val="3"/>
                <c:pt idx="0">
                  <c:v>United Kingdom</c:v>
                </c:pt>
                <c:pt idx="1">
                  <c:v>Ireland</c:v>
                </c:pt>
                <c:pt idx="2">
                  <c:v>United States</c:v>
                </c:pt>
              </c:strCache>
            </c:strRef>
          </c:cat>
          <c:val>
            <c:numRef>
              <c:f>'Country Barchart'!$B$5:$B$7</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0A0-4D7F-AEAA-3108589F2E1C}"/>
            </c:ext>
          </c:extLst>
        </c:ser>
        <c:dLbls>
          <c:showLegendKey val="0"/>
          <c:showVal val="0"/>
          <c:showCatName val="0"/>
          <c:showSerName val="0"/>
          <c:showPercent val="0"/>
          <c:showBubbleSize val="0"/>
        </c:dLbls>
        <c:gapWidth val="182"/>
        <c:axId val="1779626608"/>
        <c:axId val="1779615568"/>
      </c:barChart>
      <c:catAx>
        <c:axId val="177962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79615568"/>
        <c:crosses val="autoZero"/>
        <c:auto val="1"/>
        <c:lblAlgn val="ctr"/>
        <c:lblOffset val="100"/>
        <c:noMultiLvlLbl val="0"/>
      </c:catAx>
      <c:valAx>
        <c:axId val="1779615568"/>
        <c:scaling>
          <c:orientation val="minMax"/>
        </c:scaling>
        <c:delete val="0"/>
        <c:axPos val="b"/>
        <c:majorGridlines>
          <c:spPr>
            <a:ln w="9525" cap="flat" cmpd="sng" algn="ctr">
              <a:solidFill>
                <a:schemeClr val="bg1"/>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7962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A5ED"/>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[coffeeOrdersData.xlsx]Top5Customers!PivotTable1</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3C18"/>
          </a:solidFill>
          <a:ln w="25400">
            <a:solidFill>
              <a:schemeClr val="bg1"/>
            </a:solidFill>
          </a:ln>
          <a:effectLst/>
        </c:spPr>
      </c:pivotFmt>
      <c:pivotFmt>
        <c:idx val="2"/>
        <c:spPr>
          <a:solidFill>
            <a:srgbClr val="517D33"/>
          </a:solidFill>
          <a:ln w="25400">
            <a:solidFill>
              <a:schemeClr val="bg1"/>
            </a:solidFill>
          </a:ln>
          <a:effectLst/>
        </c:spPr>
      </c:pivotFmt>
      <c:pivotFmt>
        <c:idx val="3"/>
        <c:spPr>
          <a:solidFill>
            <a:srgbClr val="A0CC82"/>
          </a:solidFill>
          <a:ln w="25400">
            <a:solidFill>
              <a:schemeClr val="bg1"/>
            </a:solidFill>
          </a:ln>
          <a:effectLst/>
        </c:spPr>
      </c:pivotFmt>
      <c:pivotFmt>
        <c:idx val="4"/>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0CC82"/>
          </a:solidFill>
          <a:ln w="25400">
            <a:solidFill>
              <a:schemeClr val="bg1"/>
            </a:solidFill>
          </a:ln>
          <a:effectLst/>
        </c:spPr>
      </c:pivotFmt>
      <c:pivotFmt>
        <c:idx val="6"/>
        <c:spPr>
          <a:solidFill>
            <a:srgbClr val="517D33"/>
          </a:solidFill>
          <a:ln w="25400">
            <a:solidFill>
              <a:schemeClr val="bg1"/>
            </a:solidFill>
          </a:ln>
          <a:effectLst/>
        </c:spPr>
      </c:pivotFmt>
      <c:pivotFmt>
        <c:idx val="7"/>
        <c:spPr>
          <a:solidFill>
            <a:srgbClr val="273C18"/>
          </a:solidFill>
          <a:ln w="25400">
            <a:solidFill>
              <a:schemeClr val="bg1"/>
            </a:solidFill>
          </a:ln>
          <a:effectLst/>
        </c:spPr>
      </c:pivotFmt>
      <c:pivotFmt>
        <c:idx val="8"/>
        <c:spPr>
          <a:solidFill>
            <a:schemeClr val="accent6"/>
          </a:solidFill>
          <a:ln w="25400">
            <a:solidFill>
              <a:schemeClr val="bg1"/>
            </a:solidFill>
          </a:ln>
          <a:effectLst/>
        </c:spPr>
      </c:pivotFmt>
      <c:pivotFmt>
        <c:idx val="9"/>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Top5Customers!$B$4</c:f>
              <c:strCache>
                <c:ptCount val="1"/>
                <c:pt idx="0">
                  <c:v>Total</c:v>
                </c:pt>
              </c:strCache>
            </c:strRef>
          </c:tx>
          <c:spPr>
            <a:solidFill>
              <a:schemeClr val="accent6"/>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B7FA-4B5F-8CCB-60C092135AC0}"/>
              </c:ext>
            </c:extLst>
          </c:dPt>
          <c:dPt>
            <c:idx val="1"/>
            <c:invertIfNegative val="0"/>
            <c:bubble3D val="0"/>
            <c:extLst>
              <c:ext xmlns:c16="http://schemas.microsoft.com/office/drawing/2014/chart" uri="{C3380CC4-5D6E-409C-BE32-E72D297353CC}">
                <c16:uniqueId val="{00000001-B7FA-4B5F-8CCB-60C092135AC0}"/>
              </c:ext>
            </c:extLst>
          </c:dPt>
          <c:dPt>
            <c:idx val="2"/>
            <c:invertIfNegative val="0"/>
            <c:bubble3D val="0"/>
            <c:extLst>
              <c:ext xmlns:c16="http://schemas.microsoft.com/office/drawing/2014/chart" uri="{C3380CC4-5D6E-409C-BE32-E72D297353CC}">
                <c16:uniqueId val="{00000002-B7FA-4B5F-8CCB-60C092135AC0}"/>
              </c:ext>
            </c:extLst>
          </c:dPt>
          <c:cat>
            <c:strRef>
              <c:f>Top5Customers!$A$5:$A$9</c:f>
              <c:strCache>
                <c:ptCount val="5"/>
                <c:pt idx="0">
                  <c:v>Don Flintiff</c:v>
                </c:pt>
                <c:pt idx="1">
                  <c:v>Nealson Cuttler</c:v>
                </c:pt>
                <c:pt idx="2">
                  <c:v>Terri Farra</c:v>
                </c:pt>
                <c:pt idx="3">
                  <c:v>Brenn Dundredge</c:v>
                </c:pt>
                <c:pt idx="4">
                  <c:v>Allis Wilmore</c:v>
                </c:pt>
              </c:strCache>
            </c:strRef>
          </c:cat>
          <c:val>
            <c:numRef>
              <c:f>Top5Customers!$B$5:$B$9</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7FA-4B5F-8CCB-60C092135AC0}"/>
            </c:ext>
          </c:extLst>
        </c:ser>
        <c:dLbls>
          <c:showLegendKey val="0"/>
          <c:showVal val="0"/>
          <c:showCatName val="0"/>
          <c:showSerName val="0"/>
          <c:showPercent val="0"/>
          <c:showBubbleSize val="0"/>
        </c:dLbls>
        <c:gapWidth val="182"/>
        <c:axId val="1779626608"/>
        <c:axId val="1779615568"/>
      </c:barChart>
      <c:catAx>
        <c:axId val="177962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79615568"/>
        <c:crosses val="autoZero"/>
        <c:auto val="1"/>
        <c:lblAlgn val="ctr"/>
        <c:lblOffset val="100"/>
        <c:noMultiLvlLbl val="0"/>
      </c:catAx>
      <c:valAx>
        <c:axId val="1779615568"/>
        <c:scaling>
          <c:orientation val="minMax"/>
        </c:scaling>
        <c:delete val="0"/>
        <c:axPos val="b"/>
        <c:majorGridlines>
          <c:spPr>
            <a:ln w="9525" cap="flat" cmpd="sng" algn="ctr">
              <a:solidFill>
                <a:schemeClr val="bg1"/>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7962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A5ED"/>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31</xdr:col>
      <xdr:colOff>0</xdr:colOff>
      <xdr:row>5</xdr:row>
      <xdr:rowOff>0</xdr:rowOff>
    </xdr:to>
    <xdr:sp macro="" textlink="">
      <xdr:nvSpPr>
        <xdr:cNvPr id="2" name="Rectangle 1">
          <a:extLst>
            <a:ext uri="{FF2B5EF4-FFF2-40B4-BE49-F238E27FC236}">
              <a16:creationId xmlns:a16="http://schemas.microsoft.com/office/drawing/2014/main" id="{3877CE39-06EA-5B35-2081-BEEC11CC6126}"/>
            </a:ext>
          </a:extLst>
        </xdr:cNvPr>
        <xdr:cNvSpPr/>
      </xdr:nvSpPr>
      <xdr:spPr>
        <a:xfrm>
          <a:off x="114300" y="57150"/>
          <a:ext cx="18288000" cy="762000"/>
        </a:xfrm>
        <a:prstGeom prst="rect">
          <a:avLst/>
        </a:prstGeom>
        <a:solidFill>
          <a:srgbClr val="3C1478"/>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solidFill>
                <a:schemeClr val="bg1"/>
              </a:solidFill>
            </a:rPr>
            <a:t>COFFEE</a:t>
          </a:r>
          <a:r>
            <a:rPr lang="en-IN" sz="4400" baseline="0">
              <a:solidFill>
                <a:schemeClr val="bg1"/>
              </a:solidFill>
            </a:rPr>
            <a:t> SALES DASHBOARD</a:t>
          </a:r>
          <a:endParaRPr lang="en-IN" sz="4400">
            <a:solidFill>
              <a:schemeClr val="bg1"/>
            </a:solidFill>
          </a:endParaRPr>
        </a:p>
      </xdr:txBody>
    </xdr:sp>
    <xdr:clientData/>
  </xdr:twoCellAnchor>
  <xdr:twoCellAnchor>
    <xdr:from>
      <xdr:col>1</xdr:col>
      <xdr:colOff>85725</xdr:colOff>
      <xdr:row>18</xdr:row>
      <xdr:rowOff>0</xdr:rowOff>
    </xdr:from>
    <xdr:to>
      <xdr:col>14</xdr:col>
      <xdr:colOff>485774</xdr:colOff>
      <xdr:row>46</xdr:row>
      <xdr:rowOff>0</xdr:rowOff>
    </xdr:to>
    <xdr:graphicFrame macro="">
      <xdr:nvGraphicFramePr>
        <xdr:cNvPr id="3" name="Chart 2">
          <a:extLst>
            <a:ext uri="{FF2B5EF4-FFF2-40B4-BE49-F238E27FC236}">
              <a16:creationId xmlns:a16="http://schemas.microsoft.com/office/drawing/2014/main" id="{1DB13B2A-E409-4FA8-AFE5-1430BB971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22</xdr:col>
      <xdr:colOff>314325</xdr:colOff>
      <xdr:row>16</xdr:row>
      <xdr:rowOff>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C404F59F-F7A9-4030-9963-22A31EC4AB3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4300" y="1009650"/>
              <a:ext cx="13115925" cy="1905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200025</xdr:colOff>
      <xdr:row>11</xdr:row>
      <xdr:rowOff>0</xdr:rowOff>
    </xdr:from>
    <xdr:to>
      <xdr:col>30</xdr:col>
      <xdr:colOff>0</xdr:colOff>
      <xdr:row>16</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D0DFF2EB-72B2-4746-B037-A955EB6B693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5554325" y="1962150"/>
              <a:ext cx="2238375"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F12094E8-3972-4483-9159-200D23EDAE2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525500" y="1962150"/>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6</xdr:row>
      <xdr:rowOff>0</xdr:rowOff>
    </xdr:from>
    <xdr:to>
      <xdr:col>30</xdr:col>
      <xdr:colOff>0</xdr:colOff>
      <xdr:row>10</xdr:row>
      <xdr:rowOff>28575</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8D171662-9380-4944-9A60-59D3AD3BC57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525500" y="1009650"/>
              <a:ext cx="4267200" cy="790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34</xdr:row>
      <xdr:rowOff>0</xdr:rowOff>
    </xdr:from>
    <xdr:to>
      <xdr:col>25</xdr:col>
      <xdr:colOff>0</xdr:colOff>
      <xdr:row>46</xdr:row>
      <xdr:rowOff>95249</xdr:rowOff>
    </xdr:to>
    <xdr:graphicFrame macro="">
      <xdr:nvGraphicFramePr>
        <xdr:cNvPr id="8" name="Chart 7">
          <a:extLst>
            <a:ext uri="{FF2B5EF4-FFF2-40B4-BE49-F238E27FC236}">
              <a16:creationId xmlns:a16="http://schemas.microsoft.com/office/drawing/2014/main" id="{00AE1BD0-F2EC-43C6-9EE7-15D0B7B00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18</xdr:row>
      <xdr:rowOff>1</xdr:rowOff>
    </xdr:from>
    <xdr:to>
      <xdr:col>25</xdr:col>
      <xdr:colOff>0</xdr:colOff>
      <xdr:row>33</xdr:row>
      <xdr:rowOff>0</xdr:rowOff>
    </xdr:to>
    <xdr:graphicFrame macro="">
      <xdr:nvGraphicFramePr>
        <xdr:cNvPr id="9" name="Chart 8">
          <a:extLst>
            <a:ext uri="{FF2B5EF4-FFF2-40B4-BE49-F238E27FC236}">
              <a16:creationId xmlns:a16="http://schemas.microsoft.com/office/drawing/2014/main" id="{B22553C0-F7BF-41E8-853C-13F3698A9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0.884171180558" createdVersion="8" refreshedVersion="8" minRefreshableVersion="3" recordCount="1000" xr:uid="{96132BDE-72C8-4404-B018-4A736FCE7011}">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29210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2A9696-FBC6-46E6-97B8-772BAC96166F}" name="PivotTable1"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44"/>
  </dataFields>
  <formats count="1">
    <format dxfId="17">
      <pivotArea outline="0" collapsedLevelsAreSubtotals="1" fieldPosition="0"/>
    </format>
  </format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10FBE1-236F-4D63-97DA-F73EDF122EA3}" name="PivotTable1" cacheId="3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4: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44"/>
  </dataFields>
  <formats count="1">
    <format dxfId="13">
      <pivotArea outline="0" collapsedLevelsAreSubtotals="1" fieldPosition="0"/>
    </format>
  </format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9D76FF-049A-494D-84CF-8E625C8ECF11}" name="PivotTable1" cacheId="3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4:B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44"/>
  </dataFields>
  <formats count="1">
    <format dxfId="12">
      <pivotArea outline="0" collapsedLevelsAreSubtotals="1" fieldPosition="0"/>
    </format>
  </formats>
  <chartFormats count="5">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5" count="1" selected="0">
            <x v="28"/>
          </reference>
        </references>
      </pivotArea>
    </chartFormat>
    <chartFormat chart="10"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FE6AA05-1F4E-4DDC-9BDA-973547317F56}" sourceName="Size">
  <pivotTables>
    <pivotTable tabId="18" name="PivotTable1"/>
  </pivotTables>
  <data>
    <tabular pivotCacheId="82921008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4BE8D56-914E-4915-80EF-92A052535956}" sourceName="Loyalty card">
  <pivotTables>
    <pivotTable tabId="18" name="PivotTable1"/>
  </pivotTables>
  <data>
    <tabular pivotCacheId="829210083">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F9186F4-33CE-480A-B218-4C21D569FE6D}" sourceName="Roast Type Name">
  <pivotTables>
    <pivotTable tabId="18" name="PivotTable1"/>
  </pivotTables>
  <data>
    <tabular pivotCacheId="82921008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22F9CF2-C38A-4237-BDEF-7C516DEB8960}" cache="Slicer_Size" caption="Size" columnCount="2" style="Slicer Style Purple" rowHeight="274320"/>
  <slicer name="Loyalty card" xr10:uid="{BB2EF27E-2A40-44FD-8900-3B5A24223F09}" cache="Slicer_Loyalty_card" caption="Loyalty card" style="Slicer Style Purple" rowHeight="241300"/>
  <slicer name="Roast Type Name" xr10:uid="{4324982F-DB84-4924-91C0-3FB6CC95D005}" cache="Slicer_Roast_Type_Name" caption="Roast Type Name" columnCount="3" style="Slicer Style Purple"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95AB95-996E-4AE7-9028-2B9B85B04AE3}" name="ORDERS" displayName="ORDERS" ref="A1:P1001" totalsRowShown="0" headerRowDxfId="28">
  <autoFilter ref="A1:P1001" xr:uid="{CB95AB95-996E-4AE7-9028-2B9B85B04AE3}"/>
  <tableColumns count="16">
    <tableColumn id="1" xr3:uid="{D3E257F0-B296-41E9-B964-F3EA2479468F}" name="Order ID" dataDxfId="27"/>
    <tableColumn id="2" xr3:uid="{D0D88A2C-4E43-470D-AB14-08C87E47BA03}" name="Order Date" dataDxfId="26"/>
    <tableColumn id="3" xr3:uid="{4AC0CB15-8C5A-4426-BC07-44A5232D4361}" name="Customer ID" dataDxfId="25"/>
    <tableColumn id="4" xr3:uid="{A73C03CB-554E-48A2-A7D9-1276E3E26BC0}" name="Product ID"/>
    <tableColumn id="5" xr3:uid="{034B886B-2EE0-4FB9-9F2A-46B53937D02A}" name="Quantity" dataDxfId="24"/>
    <tableColumn id="6" xr3:uid="{E81D83C3-2AFB-4F47-8ADB-D3A06FC744DC}" name="Customer Name" dataDxfId="23">
      <calculatedColumnFormula>_xlfn.XLOOKUP(C2,customers!$A$1:$A$1001,customers!$B$1:$B$1001,,0)</calculatedColumnFormula>
    </tableColumn>
    <tableColumn id="7" xr3:uid="{3B998740-5717-4FB8-BB2E-3003F623C356}" name="Email" dataDxfId="22">
      <calculatedColumnFormula>_xlfn.LET(_xlpm.val,_xlfn.XLOOKUP(C2,customers!$A$1:$A$1001,customers!$C$1:$C$1001,,0),IF(_xlpm.val=0,"",_xlpm.val))</calculatedColumnFormula>
    </tableColumn>
    <tableColumn id="8" xr3:uid="{78F5E06E-828A-4946-9D22-DA95007925AB}" name="Country" dataDxfId="21">
      <calculatedColumnFormula>_xlfn.LET(_xlpm.val,_xlfn.XLOOKUP(C2,customers!$A$1:$A$1001,customers!$G$1:$G$1001,,0),IF(_xlpm.val=0,"",_xlpm.val))</calculatedColumnFormula>
    </tableColumn>
    <tableColumn id="9" xr3:uid="{7E0EB1B1-1FF7-48A4-B269-801A5FA30DCF}" name="Coffee Type">
      <calculatedColumnFormula>INDEX(products!$A$1:$G$49,MATCH(orders!$D2,products!$A$1:$A$49,0),MATCH(orders!I$1,products!$A$1:$G$1,0))</calculatedColumnFormula>
    </tableColumn>
    <tableColumn id="10" xr3:uid="{B07A6A16-4FB3-4DE4-A361-FE3365AB07C1}" name="Roast Type">
      <calculatedColumnFormula>INDEX(products!$A$1:$G$49,MATCH(orders!$D2,products!$A$1:$A$49,0),MATCH(orders!J$1,products!$A$1:$G$1,0))</calculatedColumnFormula>
    </tableColumn>
    <tableColumn id="11" xr3:uid="{72F65419-8997-4E7C-AC79-E40524E59095}" name="Size" dataDxfId="20">
      <calculatedColumnFormula>INDEX(products!$A$1:$G$49,MATCH(orders!$D2,products!$A$1:$A$49,0),MATCH(orders!K$1,products!$A$1:$G$1,0))</calculatedColumnFormula>
    </tableColumn>
    <tableColumn id="12" xr3:uid="{5A74D770-4F79-4FBB-89DE-40D3E9D64121}" name="Unit Price" dataDxfId="19">
      <calculatedColumnFormula>INDEX(products!$A$1:$G$49,MATCH(orders!$D2,products!$A$1:$A$49,0),MATCH(orders!L$1,products!$A$1:$G$1,0))</calculatedColumnFormula>
    </tableColumn>
    <tableColumn id="13" xr3:uid="{5EF5BC00-44F7-4858-A6C2-40D928E869AC}" name="Sales" dataDxfId="18">
      <calculatedColumnFormula>L2*E2</calculatedColumnFormula>
    </tableColumn>
    <tableColumn id="14" xr3:uid="{3626AFAE-B70E-4988-A627-18BD33610B55}" name="Coffee Type name">
      <calculatedColumnFormula array="1">_xlfn.SWITCH(I2,"rob","Robusta","exc","Excelsa","Ara","Arabica","Lib","Liberica","")</calculatedColumnFormula>
    </tableColumn>
    <tableColumn id="15" xr3:uid="{BE8A59CB-B87A-4093-9124-7C48B6C995B4}" name="Roast Type Name">
      <calculatedColumnFormula array="1">_xlfn.SWITCH(J2,"M","Medium","D","Dark","L","Light")</calculatedColumnFormula>
    </tableColumn>
    <tableColumn id="16" xr3:uid="{EF849562-2A37-4030-914E-104053635677}" name="Loyalty card" dataDxfId="14">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E98EB4C-78FE-4950-8255-2B12832D2542}" sourceName="Order Date">
  <pivotTables>
    <pivotTable tabId="18" name="PivotTable1"/>
  </pivotTables>
  <state minimalRefreshVersion="6" lastRefreshVersion="6" pivotCacheId="82921008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D4B8C2A-54B4-42B3-AC72-9AF4745F41F0}"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6E2E-6B0D-4152-8499-F99686D35BF2}">
  <dimension ref="A1"/>
  <sheetViews>
    <sheetView tabSelected="1" workbookViewId="0">
      <selection activeCell="AC39" sqref="AC39"/>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66EBB-3A75-4F75-BB3F-FA0503BEB668}">
  <dimension ref="A3:F48"/>
  <sheetViews>
    <sheetView workbookViewId="0">
      <selection activeCell="D27" sqref="D27"/>
    </sheetView>
  </sheetViews>
  <sheetFormatPr defaultRowHeight="15" x14ac:dyDescent="0.25"/>
  <cols>
    <col min="1" max="1" width="13.140625" bestFit="1" customWidth="1"/>
    <col min="2" max="2" width="22" bestFit="1" customWidth="1"/>
    <col min="3" max="3" width="19.7109375" bestFit="1" customWidth="1"/>
    <col min="4" max="6" width="9"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c r="D5" s="7">
        <v>107.72999999999999</v>
      </c>
      <c r="E5" s="7">
        <v>95.1</v>
      </c>
      <c r="F5" s="7">
        <v>11.94</v>
      </c>
    </row>
    <row r="6" spans="1:6" x14ac:dyDescent="0.25">
      <c r="B6" t="s">
        <v>6203</v>
      </c>
      <c r="C6" s="7">
        <v>162.125</v>
      </c>
      <c r="D6" s="7">
        <v>88.21</v>
      </c>
      <c r="E6" s="7">
        <v>314.89999999999992</v>
      </c>
      <c r="F6" s="7">
        <v>100.23999999999998</v>
      </c>
    </row>
    <row r="7" spans="1:6" x14ac:dyDescent="0.25">
      <c r="B7" t="s">
        <v>6204</v>
      </c>
      <c r="C7" s="7"/>
      <c r="D7" s="7">
        <v>159.57999999999998</v>
      </c>
      <c r="E7" s="7">
        <v>75.69</v>
      </c>
      <c r="F7" s="7">
        <v>89.299999999999983</v>
      </c>
    </row>
    <row r="8" spans="1:6" x14ac:dyDescent="0.25">
      <c r="B8" t="s">
        <v>6205</v>
      </c>
      <c r="C8" s="7">
        <v>242.36999999999998</v>
      </c>
      <c r="D8" s="7">
        <v>499.90499999999992</v>
      </c>
      <c r="E8" s="7">
        <v>104.65</v>
      </c>
      <c r="F8" s="7">
        <v>137.33999999999997</v>
      </c>
    </row>
    <row r="9" spans="1:6" x14ac:dyDescent="0.25">
      <c r="B9" t="s">
        <v>6206</v>
      </c>
      <c r="C9" s="7"/>
      <c r="D9" s="7">
        <v>75.734999999999999</v>
      </c>
      <c r="E9" s="7">
        <v>193.83499999999998</v>
      </c>
      <c r="F9" s="7">
        <v>68.039999999999992</v>
      </c>
    </row>
    <row r="10" spans="1:6" x14ac:dyDescent="0.25">
      <c r="B10" t="s">
        <v>6207</v>
      </c>
      <c r="C10" s="7">
        <v>163.01999999999998</v>
      </c>
      <c r="D10" s="7">
        <v>130.625</v>
      </c>
      <c r="E10" s="7">
        <v>46.769999999999996</v>
      </c>
      <c r="F10" s="7">
        <v>281.52</v>
      </c>
    </row>
    <row r="11" spans="1:6" x14ac:dyDescent="0.25">
      <c r="B11" t="s">
        <v>6208</v>
      </c>
      <c r="C11" s="7">
        <v>175.06999999999996</v>
      </c>
      <c r="D11" s="7">
        <v>55.19</v>
      </c>
      <c r="E11" s="7">
        <v>12.95</v>
      </c>
      <c r="F11" s="7">
        <v>59.699999999999996</v>
      </c>
    </row>
    <row r="12" spans="1:6" x14ac:dyDescent="0.25">
      <c r="B12" t="s">
        <v>6209</v>
      </c>
      <c r="C12" s="7">
        <v>121.21499999999997</v>
      </c>
      <c r="D12" s="7">
        <v>29.7</v>
      </c>
      <c r="E12" s="7"/>
      <c r="F12" s="7">
        <v>43.019999999999996</v>
      </c>
    </row>
    <row r="13" spans="1:6" x14ac:dyDescent="0.25">
      <c r="B13" t="s">
        <v>6210</v>
      </c>
      <c r="C13" s="7"/>
      <c r="D13" s="7">
        <v>130.35</v>
      </c>
      <c r="E13" s="7">
        <v>210.72499999999997</v>
      </c>
      <c r="F13" s="7">
        <v>457.07999999999993</v>
      </c>
    </row>
    <row r="14" spans="1:6" x14ac:dyDescent="0.25">
      <c r="B14" t="s">
        <v>6211</v>
      </c>
      <c r="C14" s="7">
        <v>114.00999999999999</v>
      </c>
      <c r="D14" s="7">
        <v>39.69</v>
      </c>
      <c r="E14" s="7">
        <v>161.16499999999999</v>
      </c>
      <c r="F14" s="7"/>
    </row>
    <row r="15" spans="1:6" x14ac:dyDescent="0.25">
      <c r="B15" t="s">
        <v>6212</v>
      </c>
      <c r="C15" s="7">
        <v>245.33499999999998</v>
      </c>
      <c r="D15" s="7">
        <v>63.249999999999993</v>
      </c>
      <c r="E15" s="7">
        <v>126.49999999999999</v>
      </c>
      <c r="F15" s="7">
        <v>73.125</v>
      </c>
    </row>
    <row r="16" spans="1:6" x14ac:dyDescent="0.25">
      <c r="B16" t="s">
        <v>6213</v>
      </c>
      <c r="C16" s="7">
        <v>17.384999999999998</v>
      </c>
      <c r="D16" s="7">
        <v>321.58499999999992</v>
      </c>
      <c r="E16" s="7">
        <v>137.85</v>
      </c>
      <c r="F16" s="7">
        <v>152.035</v>
      </c>
    </row>
    <row r="17" spans="1:6" x14ac:dyDescent="0.25">
      <c r="A17" t="s">
        <v>6199</v>
      </c>
      <c r="B17" t="s">
        <v>6202</v>
      </c>
      <c r="C17" s="7">
        <v>47.25</v>
      </c>
      <c r="D17" s="7">
        <v>10.935</v>
      </c>
      <c r="E17" s="7">
        <v>231.88</v>
      </c>
      <c r="F17" s="7">
        <v>21.495000000000001</v>
      </c>
    </row>
    <row r="18" spans="1:6" x14ac:dyDescent="0.25">
      <c r="B18" t="s">
        <v>6203</v>
      </c>
      <c r="C18" s="7">
        <v>5.97</v>
      </c>
      <c r="D18" s="7">
        <v>94.55</v>
      </c>
      <c r="E18" s="7">
        <v>73.740000000000009</v>
      </c>
      <c r="F18" s="7">
        <v>27.15</v>
      </c>
    </row>
    <row r="19" spans="1:6" x14ac:dyDescent="0.25">
      <c r="B19" t="s">
        <v>6204</v>
      </c>
      <c r="C19" s="7">
        <v>63.81</v>
      </c>
      <c r="D19" s="7">
        <v>186.03</v>
      </c>
      <c r="E19" s="7">
        <v>200.345</v>
      </c>
      <c r="F19" s="7">
        <v>65.67</v>
      </c>
    </row>
    <row r="20" spans="1:6" x14ac:dyDescent="0.25">
      <c r="B20" t="s">
        <v>6205</v>
      </c>
      <c r="C20" s="7"/>
      <c r="D20" s="7">
        <v>269.49999999999994</v>
      </c>
      <c r="E20" s="7">
        <v>23.774999999999999</v>
      </c>
      <c r="F20" s="7">
        <v>125.61499999999998</v>
      </c>
    </row>
    <row r="21" spans="1:6" x14ac:dyDescent="0.25">
      <c r="B21" t="s">
        <v>6206</v>
      </c>
      <c r="C21" s="7">
        <v>215.31499999999997</v>
      </c>
      <c r="D21" s="7">
        <v>296.05500000000001</v>
      </c>
      <c r="E21" s="7">
        <v>23.774999999999999</v>
      </c>
      <c r="F21" s="7">
        <v>14.924999999999999</v>
      </c>
    </row>
    <row r="22" spans="1:6" x14ac:dyDescent="0.25">
      <c r="B22" t="s">
        <v>6207</v>
      </c>
      <c r="C22" s="7">
        <v>240.74999999999997</v>
      </c>
      <c r="D22" s="7">
        <v>165.71499999999997</v>
      </c>
      <c r="E22" s="7">
        <v>212.42499999999998</v>
      </c>
      <c r="F22" s="7">
        <v>140.88</v>
      </c>
    </row>
    <row r="23" spans="1:6" x14ac:dyDescent="0.25">
      <c r="B23" t="s">
        <v>6208</v>
      </c>
      <c r="C23" s="7">
        <v>351.14999999999992</v>
      </c>
      <c r="D23" s="7">
        <v>117.425</v>
      </c>
      <c r="E23" s="7">
        <v>61.11</v>
      </c>
      <c r="F23" s="7">
        <v>147.67500000000001</v>
      </c>
    </row>
    <row r="24" spans="1:6" x14ac:dyDescent="0.25">
      <c r="B24" t="s">
        <v>6209</v>
      </c>
      <c r="C24" s="7"/>
      <c r="D24" s="7"/>
      <c r="E24" s="7">
        <v>31.97</v>
      </c>
      <c r="F24" s="7">
        <v>11.94</v>
      </c>
    </row>
    <row r="25" spans="1:6" x14ac:dyDescent="0.25">
      <c r="B25" t="s">
        <v>6210</v>
      </c>
      <c r="C25" s="7">
        <v>24.66</v>
      </c>
      <c r="D25" s="7"/>
      <c r="E25" s="7">
        <v>25.049999999999997</v>
      </c>
      <c r="F25" s="7">
        <v>5.97</v>
      </c>
    </row>
    <row r="26" spans="1:6" x14ac:dyDescent="0.25">
      <c r="B26" t="s">
        <v>6211</v>
      </c>
      <c r="C26" s="7">
        <v>278.15499999999997</v>
      </c>
      <c r="D26" s="7">
        <v>366.58499999999998</v>
      </c>
      <c r="E26" s="7">
        <v>305.73999999999995</v>
      </c>
      <c r="F26" s="7">
        <v>131.44999999999999</v>
      </c>
    </row>
    <row r="27" spans="1:6" x14ac:dyDescent="0.25">
      <c r="B27" t="s">
        <v>6212</v>
      </c>
      <c r="C27" s="7">
        <v>349.94499999999994</v>
      </c>
      <c r="D27" s="7">
        <v>142.56</v>
      </c>
      <c r="E27" s="7">
        <v>227.89999999999998</v>
      </c>
      <c r="F27" s="7">
        <v>77.234999999999999</v>
      </c>
    </row>
    <row r="28" spans="1:6" x14ac:dyDescent="0.25">
      <c r="B28" t="s">
        <v>6213</v>
      </c>
      <c r="C28" s="7">
        <v>71.98</v>
      </c>
      <c r="D28" s="7">
        <v>130.08499999999998</v>
      </c>
      <c r="E28" s="7">
        <v>23.31</v>
      </c>
      <c r="F28" s="7">
        <v>59.194999999999993</v>
      </c>
    </row>
    <row r="29" spans="1:6" x14ac:dyDescent="0.25">
      <c r="A29" t="s">
        <v>6200</v>
      </c>
      <c r="B29" t="s">
        <v>6202</v>
      </c>
      <c r="C29" s="7">
        <v>151.875</v>
      </c>
      <c r="D29" s="7">
        <v>127.47499999999999</v>
      </c>
      <c r="E29" s="7">
        <v>78.63</v>
      </c>
      <c r="F29" s="7">
        <v>124.37499999999999</v>
      </c>
    </row>
    <row r="30" spans="1:6" x14ac:dyDescent="0.25">
      <c r="B30" t="s">
        <v>6203</v>
      </c>
      <c r="C30" s="7">
        <v>172.2</v>
      </c>
      <c r="D30" s="7">
        <v>235.65</v>
      </c>
      <c r="E30" s="7">
        <v>7.77</v>
      </c>
      <c r="F30" s="7">
        <v>64.44</v>
      </c>
    </row>
    <row r="31" spans="1:6" x14ac:dyDescent="0.25">
      <c r="B31" t="s">
        <v>6204</v>
      </c>
      <c r="C31" s="7">
        <v>225.89999999999998</v>
      </c>
      <c r="D31" s="7">
        <v>160.73999999999998</v>
      </c>
      <c r="E31" s="7">
        <v>126.90999999999998</v>
      </c>
      <c r="F31" s="7">
        <v>89.534999999999982</v>
      </c>
    </row>
    <row r="32" spans="1:6" x14ac:dyDescent="0.25">
      <c r="B32" t="s">
        <v>6205</v>
      </c>
      <c r="C32" s="7">
        <v>39.42</v>
      </c>
      <c r="D32" s="7">
        <v>233.23</v>
      </c>
      <c r="E32" s="7">
        <v>225.92499999999998</v>
      </c>
      <c r="F32" s="7">
        <v>82.339999999999989</v>
      </c>
    </row>
    <row r="33" spans="1:6" x14ac:dyDescent="0.25">
      <c r="B33" t="s">
        <v>6206</v>
      </c>
      <c r="C33" s="7">
        <v>91.5</v>
      </c>
      <c r="D33" s="7">
        <v>38.370000000000005</v>
      </c>
      <c r="E33" s="7">
        <v>3.8849999999999998</v>
      </c>
      <c r="F33" s="7">
        <v>88.07</v>
      </c>
    </row>
    <row r="34" spans="1:6" x14ac:dyDescent="0.25">
      <c r="B34" t="s">
        <v>6207</v>
      </c>
      <c r="C34" s="7">
        <v>150.68499999999997</v>
      </c>
      <c r="D34" s="7">
        <v>123.83000000000001</v>
      </c>
      <c r="E34" s="7">
        <v>21.825000000000003</v>
      </c>
      <c r="F34" s="7"/>
    </row>
    <row r="35" spans="1:6" x14ac:dyDescent="0.25">
      <c r="B35" t="s">
        <v>6208</v>
      </c>
      <c r="C35" s="7"/>
      <c r="D35" s="7">
        <v>268.87499999999994</v>
      </c>
      <c r="E35" s="7">
        <v>8.73</v>
      </c>
      <c r="F35" s="7">
        <v>53.699999999999996</v>
      </c>
    </row>
    <row r="36" spans="1:6" x14ac:dyDescent="0.25">
      <c r="B36" t="s">
        <v>6209</v>
      </c>
      <c r="C36" s="7">
        <v>168.10499999999999</v>
      </c>
      <c r="D36" s="7">
        <v>207.26</v>
      </c>
      <c r="E36" s="7"/>
      <c r="F36" s="7">
        <v>175.54999999999995</v>
      </c>
    </row>
    <row r="37" spans="1:6" x14ac:dyDescent="0.25">
      <c r="B37" t="s">
        <v>6210</v>
      </c>
      <c r="C37" s="7">
        <v>173.41499999999999</v>
      </c>
      <c r="D37" s="7">
        <v>238.27500000000003</v>
      </c>
      <c r="E37" s="7">
        <v>46.62</v>
      </c>
      <c r="F37" s="7">
        <v>35.849999999999994</v>
      </c>
    </row>
    <row r="38" spans="1:6" x14ac:dyDescent="0.25">
      <c r="B38" t="s">
        <v>6211</v>
      </c>
      <c r="C38" s="7">
        <v>56.07</v>
      </c>
      <c r="D38" s="7"/>
      <c r="E38" s="7">
        <v>299.07</v>
      </c>
      <c r="F38" s="7">
        <v>141.08500000000001</v>
      </c>
    </row>
    <row r="39" spans="1:6" x14ac:dyDescent="0.25">
      <c r="B39" t="s">
        <v>6212</v>
      </c>
      <c r="C39" s="7">
        <v>260.01</v>
      </c>
      <c r="D39" s="7">
        <v>106.02000000000001</v>
      </c>
      <c r="E39" s="7">
        <v>262.72000000000003</v>
      </c>
      <c r="F39" s="7">
        <v>189.47499999999999</v>
      </c>
    </row>
    <row r="40" spans="1:6" x14ac:dyDescent="0.25">
      <c r="B40" t="s">
        <v>6213</v>
      </c>
      <c r="C40" s="7">
        <v>197.61499999999998</v>
      </c>
      <c r="D40" s="7">
        <v>18.225000000000001</v>
      </c>
      <c r="E40" s="7">
        <v>241.85</v>
      </c>
      <c r="F40" s="7">
        <v>26.849999999999998</v>
      </c>
    </row>
    <row r="41" spans="1:6" x14ac:dyDescent="0.25">
      <c r="A41" t="s">
        <v>6201</v>
      </c>
      <c r="B41" t="s">
        <v>6202</v>
      </c>
      <c r="C41" s="7">
        <v>82.634999999999991</v>
      </c>
      <c r="D41" s="7">
        <v>93.960000000000008</v>
      </c>
      <c r="E41" s="7">
        <v>380.43499999999995</v>
      </c>
      <c r="F41" s="7">
        <v>78.034999999999997</v>
      </c>
    </row>
    <row r="42" spans="1:6" x14ac:dyDescent="0.25">
      <c r="B42" t="s">
        <v>6203</v>
      </c>
      <c r="C42" s="7">
        <v>65.67</v>
      </c>
      <c r="D42" s="7">
        <v>4.125</v>
      </c>
      <c r="E42" s="7">
        <v>23.774999999999999</v>
      </c>
      <c r="F42" s="7"/>
    </row>
    <row r="43" spans="1:6" x14ac:dyDescent="0.25">
      <c r="B43" t="s">
        <v>6204</v>
      </c>
      <c r="C43" s="7">
        <v>232.76</v>
      </c>
      <c r="D43" s="7">
        <v>28.395</v>
      </c>
      <c r="E43" s="7">
        <v>458.14499999999998</v>
      </c>
      <c r="F43" s="7">
        <v>240.34999999999997</v>
      </c>
    </row>
    <row r="44" spans="1:6" x14ac:dyDescent="0.25">
      <c r="B44" t="s">
        <v>6205</v>
      </c>
      <c r="C44" s="7">
        <v>190.125</v>
      </c>
      <c r="D44" s="7">
        <v>220.45499999999996</v>
      </c>
      <c r="E44" s="7">
        <v>42.734999999999999</v>
      </c>
      <c r="F44" s="7">
        <v>119.04499999999999</v>
      </c>
    </row>
    <row r="45" spans="1:6" x14ac:dyDescent="0.25">
      <c r="B45" t="s">
        <v>6206</v>
      </c>
      <c r="C45" s="7">
        <v>92.389999999999986</v>
      </c>
      <c r="D45" s="7">
        <v>141.95499999999998</v>
      </c>
      <c r="E45" s="7">
        <v>79.180000000000007</v>
      </c>
      <c r="F45" s="7">
        <v>95.6</v>
      </c>
    </row>
    <row r="46" spans="1:6" x14ac:dyDescent="0.25">
      <c r="B46" t="s">
        <v>6207</v>
      </c>
      <c r="C46" s="7">
        <v>47.76</v>
      </c>
      <c r="D46" s="7">
        <v>189.68</v>
      </c>
      <c r="E46" s="7">
        <v>8.73</v>
      </c>
      <c r="F46" s="7">
        <v>138.72499999999997</v>
      </c>
    </row>
    <row r="47" spans="1:6" x14ac:dyDescent="0.25">
      <c r="B47" t="s">
        <v>6208</v>
      </c>
      <c r="C47" s="7">
        <v>81.534999999999997</v>
      </c>
      <c r="D47" s="7">
        <v>165.41499999999996</v>
      </c>
      <c r="E47" s="7"/>
      <c r="F47" s="7">
        <v>65.669999999999987</v>
      </c>
    </row>
    <row r="48" spans="1:6" x14ac:dyDescent="0.25">
      <c r="B48" t="s">
        <v>6209</v>
      </c>
      <c r="C48" s="7">
        <v>29.784999999999997</v>
      </c>
      <c r="D48" s="7">
        <v>41.25</v>
      </c>
      <c r="E48" s="7"/>
      <c r="F48" s="7">
        <v>45.379999999999995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3BA6-1791-4895-B13A-904B977196D6}">
  <dimension ref="A4:B7"/>
  <sheetViews>
    <sheetView workbookViewId="0">
      <selection activeCell="Z28" sqref="Z28"/>
    </sheetView>
  </sheetViews>
  <sheetFormatPr defaultRowHeight="15" x14ac:dyDescent="0.25"/>
  <cols>
    <col min="1" max="1" width="15.42578125" bestFit="1" customWidth="1"/>
    <col min="2" max="2" width="12.140625" bestFit="1" customWidth="1"/>
    <col min="3" max="5" width="10.5703125" bestFit="1" customWidth="1"/>
    <col min="6" max="7" width="9" bestFit="1" customWidth="1"/>
  </cols>
  <sheetData>
    <row r="4" spans="1:2" x14ac:dyDescent="0.25">
      <c r="A4" s="6" t="s">
        <v>7</v>
      </c>
      <c r="B4" t="s">
        <v>6220</v>
      </c>
    </row>
    <row r="5" spans="1:2" x14ac:dyDescent="0.25">
      <c r="A5" t="s">
        <v>28</v>
      </c>
      <c r="B5" s="7">
        <v>2798.5050000000001</v>
      </c>
    </row>
    <row r="6" spans="1:2" x14ac:dyDescent="0.25">
      <c r="A6" t="s">
        <v>318</v>
      </c>
      <c r="B6" s="7">
        <v>6696.8649999999989</v>
      </c>
    </row>
    <row r="7" spans="1:2" x14ac:dyDescent="0.25">
      <c r="A7" t="s">
        <v>19</v>
      </c>
      <c r="B7"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C017B-E0F4-481B-84F6-275D3C3DFB67}">
  <dimension ref="A4:B9"/>
  <sheetViews>
    <sheetView workbookViewId="0">
      <selection activeCell="T15" sqref="T15"/>
    </sheetView>
  </sheetViews>
  <sheetFormatPr defaultRowHeight="15" x14ac:dyDescent="0.25"/>
  <cols>
    <col min="1" max="1" width="17.7109375" bestFit="1" customWidth="1"/>
    <col min="2" max="2" width="12.140625" bestFit="1" customWidth="1"/>
    <col min="3" max="5" width="10.5703125" bestFit="1" customWidth="1"/>
    <col min="6" max="7" width="9" bestFit="1" customWidth="1"/>
  </cols>
  <sheetData>
    <row r="4" spans="1:2" x14ac:dyDescent="0.25">
      <c r="A4" s="6" t="s">
        <v>4</v>
      </c>
      <c r="B4" t="s">
        <v>6220</v>
      </c>
    </row>
    <row r="5" spans="1:2" x14ac:dyDescent="0.25">
      <c r="A5" t="s">
        <v>3753</v>
      </c>
      <c r="B5" s="7">
        <v>278.01</v>
      </c>
    </row>
    <row r="6" spans="1:2" x14ac:dyDescent="0.25">
      <c r="A6" t="s">
        <v>1598</v>
      </c>
      <c r="B6" s="7">
        <v>281.67499999999995</v>
      </c>
    </row>
    <row r="7" spans="1:2" x14ac:dyDescent="0.25">
      <c r="A7" t="s">
        <v>2587</v>
      </c>
      <c r="B7" s="7">
        <v>289.11</v>
      </c>
    </row>
    <row r="8" spans="1:2" x14ac:dyDescent="0.25">
      <c r="A8" t="s">
        <v>5765</v>
      </c>
      <c r="B8" s="7">
        <v>307.04499999999996</v>
      </c>
    </row>
    <row r="9" spans="1:2" x14ac:dyDescent="0.25">
      <c r="A9" t="s">
        <v>5114</v>
      </c>
      <c r="B9"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4" sqref="P4"/>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9.5703125" bestFit="1" customWidth="1"/>
    <col min="14" max="14" width="18.5703125" customWidth="1"/>
    <col min="15" max="15" width="18.140625" customWidth="1"/>
    <col min="16" max="16" width="13.4257812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6221</v>
      </c>
    </row>
    <row r="2" spans="1:16" x14ac:dyDescent="0.25">
      <c r="A2" s="2" t="s">
        <v>490</v>
      </c>
      <c r="B2" s="3">
        <v>43713</v>
      </c>
      <c r="C2" s="2" t="s">
        <v>491</v>
      </c>
      <c r="D2" t="s">
        <v>6138</v>
      </c>
      <c r="E2" s="2">
        <v>2</v>
      </c>
      <c r="F2" s="2" t="str">
        <f>_xlfn.XLOOKUP(C2,customers!$A$1:$A$1001,customers!$B$1:$B$1001,,0)</f>
        <v>Aloisia Allner</v>
      </c>
      <c r="G2" s="2" t="str">
        <f>_xlfn.LET(_xlpm.val,_xlfn.XLOOKUP(C2,customers!$A$1:$A$1001,customers!$C$1:$C$1001,,0),IF(_xlpm.val=0,"",_xlpm.val))</f>
        <v>aallner0@lulu.com</v>
      </c>
      <c r="H2" s="2" t="str">
        <f>_xlfn.LET(_xlpm.val,_xlfn.XLOOKUP(C2,customers!$A$1:$A$1001,customers!$G$1:$G$1001,,0),IF(_xlpm.val=0,"",_xlpm.val))</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cm="1">
        <f t="array" ref="N2">_xlfn.SWITCH(I2,"rob","Robusta","exc","Excelsa","Ara","Arabica","Lib","Liberica","")</f>
        <v>Robusta</v>
      </c>
      <c r="O2" t="str" cm="1">
        <f t="array" ref="O2">_xlfn.SWITCH(J2,"M","Medium","D","Dark","L","Light")</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_xlfn.LET(_xlpm.val,_xlfn.XLOOKUP(C3,customers!$A$1:$A$1001,customers!$C$1:$C$1001,,0),IF(_xlpm.val=0,"",_xlpm.val))</f>
        <v>aallner0@lulu.com</v>
      </c>
      <c r="H3" s="2" t="str">
        <f>_xlfn.LET(_xlpm.val,_xlfn.XLOOKUP(C3,customers!$A$1:$A$1001,customers!$G$1:$G$1001,,0),IF(_xlpm.val=0,"",_xlpm.val))</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cm="1">
        <f t="array" ref="N3">_xlfn.SWITCH(I3,"rob","Robusta","exc","Excelsa","Ara","Arabica","Lib","Liberica","")</f>
        <v>Excelsa</v>
      </c>
      <c r="O3" t="str" cm="1">
        <f t="array" ref="O3">_xlfn.SWITCH(J3,"M","Medium","D","Dark","L","Light")</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_xlfn.LET(_xlpm.val,_xlfn.XLOOKUP(C4,customers!$A$1:$A$1001,customers!$C$1:$C$1001,,0),IF(_xlpm.val=0,"",_xlpm.val))</f>
        <v>jredholes2@tmall.com</v>
      </c>
      <c r="H4" s="2" t="str">
        <f>_xlfn.LET(_xlpm.val,_xlfn.XLOOKUP(C4,customers!$A$1:$A$1001,customers!$G$1:$G$1001,,0),IF(_xlpm.val=0,"",_xlpm.val))</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_xlfn.SWITCH(I4,"rob","Robusta","exc","Excelsa","Ara","Arabica","Lib","Liberica","")</f>
        <v>Arabica</v>
      </c>
      <c r="O4" t="str" cm="1">
        <f t="array" ref="O4">_xlfn.SWITCH(J4,"M","Medium","D","Dark","L","Light")</f>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_xlfn.LET(_xlpm.val,_xlfn.XLOOKUP(C5,customers!$A$1:$A$1001,customers!$C$1:$C$1001,,0),IF(_xlpm.val=0,"",_xlpm.val))</f>
        <v/>
      </c>
      <c r="H5" s="2" t="str">
        <f>_xlfn.LET(_xlpm.val,_xlfn.XLOOKUP(C5,customers!$A$1:$A$1001,customers!$G$1:$G$1001,,0),IF(_xlpm.val=0,"",_xlpm.val))</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_xlfn.SWITCH(I5,"rob","Robusta","exc","Excelsa","Ara","Arabica","Lib","Liberica","")</f>
        <v>Excelsa</v>
      </c>
      <c r="O5" t="str" cm="1">
        <f t="array" ref="O5">_xlfn.SWITCH(J5,"M","Medium","D","Dark","L","Light")</f>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_xlfn.LET(_xlpm.val,_xlfn.XLOOKUP(C6,customers!$A$1:$A$1001,customers!$C$1:$C$1001,,0),IF(_xlpm.val=0,"",_xlpm.val))</f>
        <v/>
      </c>
      <c r="H6" s="2" t="str">
        <f>_xlfn.LET(_xlpm.val,_xlfn.XLOOKUP(C6,customers!$A$1:$A$1001,customers!$G$1:$G$1001,,0),IF(_xlpm.val=0,"",_xlpm.val))</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cm="1">
        <f t="array" ref="N6">_xlfn.SWITCH(I6,"rob","Robusta","exc","Excelsa","Ara","Arabica","Lib","Liberica","")</f>
        <v>Robusta</v>
      </c>
      <c r="O6" t="str" cm="1">
        <f t="array" ref="O6">_xlfn.SWITCH(J6,"M","Medium","D","Dark","L","Light")</f>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_xlfn.LET(_xlpm.val,_xlfn.XLOOKUP(C7,customers!$A$1:$A$1001,customers!$C$1:$C$1001,,0),IF(_xlpm.val=0,"",_xlpm.val))</f>
        <v/>
      </c>
      <c r="H7" s="2" t="str">
        <f>_xlfn.LET(_xlpm.val,_xlfn.XLOOKUP(C7,customers!$A$1:$A$1001,customers!$G$1:$G$1001,,0),IF(_xlpm.val=0,"",_xlpm.val))</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cm="1">
        <f t="array" ref="N7">_xlfn.SWITCH(I7,"rob","Robusta","exc","Excelsa","Ara","Arabica","Lib","Liberica","")</f>
        <v>Liberica</v>
      </c>
      <c r="O7" t="str" cm="1">
        <f t="array" ref="O7">_xlfn.SWITCH(J7,"M","Medium","D","Dark","L","Light")</f>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_xlfn.LET(_xlpm.val,_xlfn.XLOOKUP(C8,customers!$A$1:$A$1001,customers!$C$1:$C$1001,,0),IF(_xlpm.val=0,"",_xlpm.val))</f>
        <v>slobe6@nifty.com</v>
      </c>
      <c r="H8" s="2" t="str">
        <f>_xlfn.LET(_xlpm.val,_xlfn.XLOOKUP(C8,customers!$A$1:$A$1001,customers!$G$1:$G$1001,,0),IF(_xlpm.val=0,"",_xlpm.val))</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_xlfn.SWITCH(I8,"rob","Robusta","exc","Excelsa","Ara","Arabica","Lib","Liberica","")</f>
        <v>Excelsa</v>
      </c>
      <c r="O8" t="str" cm="1">
        <f t="array" ref="O8">_xlfn.SWITCH(J8,"M","Medium","D","Dark","L","Light")</f>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_xlfn.LET(_xlpm.val,_xlfn.XLOOKUP(C9,customers!$A$1:$A$1001,customers!$C$1:$C$1001,,0),IF(_xlpm.val=0,"",_xlpm.val))</f>
        <v/>
      </c>
      <c r="H9" s="2" t="str">
        <f>_xlfn.LET(_xlpm.val,_xlfn.XLOOKUP(C9,customers!$A$1:$A$1001,customers!$G$1:$G$1001,,0),IF(_xlpm.val=0,"",_xlpm.val))</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cm="1">
        <f t="array" ref="N9">_xlfn.SWITCH(I9,"rob","Robusta","exc","Excelsa","Ara","Arabica","Lib","Liberica","")</f>
        <v>Liberica</v>
      </c>
      <c r="O9" t="str" cm="1">
        <f t="array" ref="O9">_xlfn.SWITCH(J9,"M","Medium","D","Dark","L","Light")</f>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_xlfn.LET(_xlpm.val,_xlfn.XLOOKUP(C10,customers!$A$1:$A$1001,customers!$C$1:$C$1001,,0),IF(_xlpm.val=0,"",_xlpm.val))</f>
        <v>gpetracci8@livejournal.com</v>
      </c>
      <c r="H10" s="2" t="str">
        <f>_xlfn.LET(_xlpm.val,_xlfn.XLOOKUP(C10,customers!$A$1:$A$1001,customers!$G$1:$G$1001,,0),IF(_xlpm.val=0,"",_xlpm.val))</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_xlfn.SWITCH(I10,"rob","Robusta","exc","Excelsa","Ara","Arabica","Lib","Liberica","")</f>
        <v>Robusta</v>
      </c>
      <c r="O10" t="str" cm="1">
        <f t="array" ref="O10">_xlfn.SWITCH(J10,"M","Medium","D","Dark","L","Light")</f>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_xlfn.LET(_xlpm.val,_xlfn.XLOOKUP(C11,customers!$A$1:$A$1001,customers!$C$1:$C$1001,,0),IF(_xlpm.val=0,"",_xlpm.val))</f>
        <v>rraven9@ed.gov</v>
      </c>
      <c r="H11" s="2" t="str">
        <f>_xlfn.LET(_xlpm.val,_xlfn.XLOOKUP(C11,customers!$A$1:$A$1001,customers!$G$1:$G$1001,,0),IF(_xlpm.val=0,"",_xlpm.val))</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_xlfn.SWITCH(I11,"rob","Robusta","exc","Excelsa","Ara","Arabica","Lib","Liberica","")</f>
        <v>Robusta</v>
      </c>
      <c r="O11" t="str" cm="1">
        <f t="array" ref="O11">_xlfn.SWITCH(J11,"M","Medium","D","Dark","L","Light")</f>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_xlfn.LET(_xlpm.val,_xlfn.XLOOKUP(C12,customers!$A$1:$A$1001,customers!$C$1:$C$1001,,0),IF(_xlpm.val=0,"",_xlpm.val))</f>
        <v>fferbera@businesswire.com</v>
      </c>
      <c r="H12" s="2" t="str">
        <f>_xlfn.LET(_xlpm.val,_xlfn.XLOOKUP(C12,customers!$A$1:$A$1001,customers!$G$1:$G$1001,,0),IF(_xlpm.val=0,"",_xlpm.val))</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_xlfn.SWITCH(I12,"rob","Robusta","exc","Excelsa","Ara","Arabica","Lib","Liberica","")</f>
        <v>Arabica</v>
      </c>
      <c r="O12" t="str" cm="1">
        <f t="array" ref="O12">_xlfn.SWITCH(J12,"M","Medium","D","Dark","L","Light")</f>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_xlfn.LET(_xlpm.val,_xlfn.XLOOKUP(C13,customers!$A$1:$A$1001,customers!$C$1:$C$1001,,0),IF(_xlpm.val=0,"",_xlpm.val))</f>
        <v>dphizackerlyb@utexas.edu</v>
      </c>
      <c r="H13" s="2" t="str">
        <f>_xlfn.LET(_xlpm.val,_xlfn.XLOOKUP(C13,customers!$A$1:$A$1001,customers!$G$1:$G$1001,,0),IF(_xlpm.val=0,"",_xlpm.val))</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cm="1">
        <f t="array" ref="N13">_xlfn.SWITCH(I13,"rob","Robusta","exc","Excelsa","Ara","Arabica","Lib","Liberica","")</f>
        <v>Excelsa</v>
      </c>
      <c r="O13" t="str" cm="1">
        <f t="array" ref="O13">_xlfn.SWITCH(J13,"M","Medium","D","Dark","L","Light")</f>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_xlfn.LET(_xlpm.val,_xlfn.XLOOKUP(C14,customers!$A$1:$A$1001,customers!$C$1:$C$1001,,0),IF(_xlpm.val=0,"",_xlpm.val))</f>
        <v>rscholarc@nyu.edu</v>
      </c>
      <c r="H14" s="2" t="str">
        <f>_xlfn.LET(_xlpm.val,_xlfn.XLOOKUP(C14,customers!$A$1:$A$1001,customers!$G$1:$G$1001,,0),IF(_xlpm.val=0,"",_xlpm.val))</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_xlfn.SWITCH(I14,"rob","Robusta","exc","Excelsa","Ara","Arabica","Lib","Liberica","")</f>
        <v>Robusta</v>
      </c>
      <c r="O14" t="str" cm="1">
        <f t="array" ref="O14">_xlfn.SWITCH(J14,"M","Medium","D","Dark","L","Light")</f>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_xlfn.LET(_xlpm.val,_xlfn.XLOOKUP(C15,customers!$A$1:$A$1001,customers!$C$1:$C$1001,,0),IF(_xlpm.val=0,"",_xlpm.val))</f>
        <v>tvanyutind@wix.com</v>
      </c>
      <c r="H15" s="2" t="str">
        <f>_xlfn.LET(_xlpm.val,_xlfn.XLOOKUP(C15,customers!$A$1:$A$1001,customers!$G$1:$G$1001,,0),IF(_xlpm.val=0,"",_xlpm.val))</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cm="1">
        <f t="array" ref="N15">_xlfn.SWITCH(I15,"rob","Robusta","exc","Excelsa","Ara","Arabica","Lib","Liberica","")</f>
        <v>Robusta</v>
      </c>
      <c r="O15" t="str" cm="1">
        <f t="array" ref="O15">_xlfn.SWITCH(J15,"M","Medium","D","Dark","L","Light")</f>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_xlfn.LET(_xlpm.val,_xlfn.XLOOKUP(C16,customers!$A$1:$A$1001,customers!$C$1:$C$1001,,0),IF(_xlpm.val=0,"",_xlpm.val))</f>
        <v>ptrobee@wunderground.com</v>
      </c>
      <c r="H16" s="2" t="str">
        <f>_xlfn.LET(_xlpm.val,_xlfn.XLOOKUP(C16,customers!$A$1:$A$1001,customers!$G$1:$G$1001,,0),IF(_xlpm.val=0,"",_xlpm.val))</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cm="1">
        <f t="array" ref="N16">_xlfn.SWITCH(I16,"rob","Robusta","exc","Excelsa","Ara","Arabica","Lib","Liberica","")</f>
        <v>Liberica</v>
      </c>
      <c r="O16" t="str" cm="1">
        <f t="array" ref="O16">_xlfn.SWITCH(J16,"M","Medium","D","Dark","L","Light")</f>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_xlfn.LET(_xlpm.val,_xlfn.XLOOKUP(C17,customers!$A$1:$A$1001,customers!$C$1:$C$1001,,0),IF(_xlpm.val=0,"",_xlpm.val))</f>
        <v>loscroftf@ebay.co.uk</v>
      </c>
      <c r="H17" s="2" t="str">
        <f>_xlfn.LET(_xlpm.val,_xlfn.XLOOKUP(C17,customers!$A$1:$A$1001,customers!$G$1:$G$1001,,0),IF(_xlpm.val=0,"",_xlpm.val))</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cm="1">
        <f t="array" ref="N17">_xlfn.SWITCH(I17,"rob","Robusta","exc","Excelsa","Ara","Arabica","Lib","Liberica","")</f>
        <v>Robusta</v>
      </c>
      <c r="O17" t="str" cm="1">
        <f t="array" ref="O17">_xlfn.SWITCH(J17,"M","Medium","D","Dark","L","Light")</f>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_xlfn.LET(_xlpm.val,_xlfn.XLOOKUP(C18,customers!$A$1:$A$1001,customers!$C$1:$C$1001,,0),IF(_xlpm.val=0,"",_xlpm.val))</f>
        <v>malabasterg@hexun.com</v>
      </c>
      <c r="H18" s="2" t="str">
        <f>_xlfn.LET(_xlpm.val,_xlfn.XLOOKUP(C18,customers!$A$1:$A$1001,customers!$G$1:$G$1001,,0),IF(_xlpm.val=0,"",_xlpm.val))</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_xlfn.SWITCH(I18,"rob","Robusta","exc","Excelsa","Ara","Arabica","Lib","Liberica","")</f>
        <v>Arabica</v>
      </c>
      <c r="O18" t="str" cm="1">
        <f t="array" ref="O18">_xlfn.SWITCH(J18,"M","Medium","D","Dark","L","Light")</f>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_xlfn.LET(_xlpm.val,_xlfn.XLOOKUP(C19,customers!$A$1:$A$1001,customers!$C$1:$C$1001,,0),IF(_xlpm.val=0,"",_xlpm.val))</f>
        <v>rbroxuph@jimdo.com</v>
      </c>
      <c r="H19" s="2" t="str">
        <f>_xlfn.LET(_xlpm.val,_xlfn.XLOOKUP(C19,customers!$A$1:$A$1001,customers!$G$1:$G$1001,,0),IF(_xlpm.val=0,"",_xlpm.val))</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cm="1">
        <f t="array" ref="N19">_xlfn.SWITCH(I19,"rob","Robusta","exc","Excelsa","Ara","Arabica","Lib","Liberica","")</f>
        <v>Arabica</v>
      </c>
      <c r="O19" t="str" cm="1">
        <f t="array" ref="O19">_xlfn.SWITCH(J19,"M","Medium","D","Dark","L","Light")</f>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_xlfn.LET(_xlpm.val,_xlfn.XLOOKUP(C20,customers!$A$1:$A$1001,customers!$C$1:$C$1001,,0),IF(_xlpm.val=0,"",_xlpm.val))</f>
        <v>predfordi@ow.ly</v>
      </c>
      <c r="H20" s="2" t="str">
        <f>_xlfn.LET(_xlpm.val,_xlfn.XLOOKUP(C20,customers!$A$1:$A$1001,customers!$G$1:$G$1001,,0),IF(_xlpm.val=0,"",_xlpm.val))</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cm="1">
        <f t="array" ref="N20">_xlfn.SWITCH(I20,"rob","Robusta","exc","Excelsa","Ara","Arabica","Lib","Liberica","")</f>
        <v>Robusta</v>
      </c>
      <c r="O20" t="str" cm="1">
        <f t="array" ref="O20">_xlfn.SWITCH(J20,"M","Medium","D","Dark","L","Light")</f>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_xlfn.LET(_xlpm.val,_xlfn.XLOOKUP(C21,customers!$A$1:$A$1001,customers!$C$1:$C$1001,,0),IF(_xlpm.val=0,"",_xlpm.val))</f>
        <v>acorradinoj@harvard.edu</v>
      </c>
      <c r="H21" s="2" t="str">
        <f>_xlfn.LET(_xlpm.val,_xlfn.XLOOKUP(C21,customers!$A$1:$A$1001,customers!$G$1:$G$1001,,0),IF(_xlpm.val=0,"",_xlpm.val))</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cm="1">
        <f t="array" ref="N21">_xlfn.SWITCH(I21,"rob","Robusta","exc","Excelsa","Ara","Arabica","Lib","Liberica","")</f>
        <v>Arabica</v>
      </c>
      <c r="O21" t="str" cm="1">
        <f t="array" ref="O21">_xlfn.SWITCH(J21,"M","Medium","D","Dark","L","Light")</f>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_xlfn.LET(_xlpm.val,_xlfn.XLOOKUP(C22,customers!$A$1:$A$1001,customers!$C$1:$C$1001,,0),IF(_xlpm.val=0,"",_xlpm.val))</f>
        <v>acorradinoj@harvard.edu</v>
      </c>
      <c r="H22" s="2" t="str">
        <f>_xlfn.LET(_xlpm.val,_xlfn.XLOOKUP(C22,customers!$A$1:$A$1001,customers!$G$1:$G$1001,,0),IF(_xlpm.val=0,"",_xlpm.val))</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_xlfn.SWITCH(I22,"rob","Robusta","exc","Excelsa","Ara","Arabica","Lib","Liberica","")</f>
        <v>Excelsa</v>
      </c>
      <c r="O22" t="str" cm="1">
        <f t="array" ref="O22">_xlfn.SWITCH(J22,"M","Medium","D","Dark","L","Light")</f>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_xlfn.LET(_xlpm.val,_xlfn.XLOOKUP(C23,customers!$A$1:$A$1001,customers!$C$1:$C$1001,,0),IF(_xlpm.val=0,"",_xlpm.val))</f>
        <v>adavidowskyl@netvibes.com</v>
      </c>
      <c r="H23" s="2" t="str">
        <f>_xlfn.LET(_xlpm.val,_xlfn.XLOOKUP(C23,customers!$A$1:$A$1001,customers!$G$1:$G$1001,,0),IF(_xlpm.val=0,"",_xlpm.val))</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_xlfn.SWITCH(I23,"rob","Robusta","exc","Excelsa","Ara","Arabica","Lib","Liberica","")</f>
        <v>Arabica</v>
      </c>
      <c r="O23" t="str" cm="1">
        <f t="array" ref="O23">_xlfn.SWITCH(J23,"M","Medium","D","Dark","L","Light")</f>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_xlfn.LET(_xlpm.val,_xlfn.XLOOKUP(C24,customers!$A$1:$A$1001,customers!$C$1:$C$1001,,0),IF(_xlpm.val=0,"",_xlpm.val))</f>
        <v>aantukm@kickstarter.com</v>
      </c>
      <c r="H24" s="2" t="str">
        <f>_xlfn.LET(_xlpm.val,_xlfn.XLOOKUP(C24,customers!$A$1:$A$1001,customers!$G$1:$G$1001,,0),IF(_xlpm.val=0,"",_xlpm.val))</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cm="1">
        <f t="array" ref="N24">_xlfn.SWITCH(I24,"rob","Robusta","exc","Excelsa","Ara","Arabica","Lib","Liberica","")</f>
        <v>Robusta</v>
      </c>
      <c r="O24" t="str" cm="1">
        <f t="array" ref="O24">_xlfn.SWITCH(J24,"M","Medium","D","Dark","L","Light")</f>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_xlfn.LET(_xlpm.val,_xlfn.XLOOKUP(C25,customers!$A$1:$A$1001,customers!$C$1:$C$1001,,0),IF(_xlpm.val=0,"",_xlpm.val))</f>
        <v>ikleinertn@timesonline.co.uk</v>
      </c>
      <c r="H25" s="2" t="str">
        <f>_xlfn.LET(_xlpm.val,_xlfn.XLOOKUP(C25,customers!$A$1:$A$1001,customers!$G$1:$G$1001,,0),IF(_xlpm.val=0,"",_xlpm.val))</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_xlfn.SWITCH(I25,"rob","Robusta","exc","Excelsa","Ara","Arabica","Lib","Liberica","")</f>
        <v>Arabica</v>
      </c>
      <c r="O25" t="str" cm="1">
        <f t="array" ref="O25">_xlfn.SWITCH(J25,"M","Medium","D","Dark","L","Light")</f>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_xlfn.LET(_xlpm.val,_xlfn.XLOOKUP(C26,customers!$A$1:$A$1001,customers!$C$1:$C$1001,,0),IF(_xlpm.val=0,"",_xlpm.val))</f>
        <v>cblofeldo@amazon.co.uk</v>
      </c>
      <c r="H26" s="2" t="str">
        <f>_xlfn.LET(_xlpm.val,_xlfn.XLOOKUP(C26,customers!$A$1:$A$1001,customers!$G$1:$G$1001,,0),IF(_xlpm.val=0,"",_xlpm.val))</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_xlfn.SWITCH(I26,"rob","Robusta","exc","Excelsa","Ara","Arabica","Lib","Liberica","")</f>
        <v>Arabica</v>
      </c>
      <c r="O26" t="str" cm="1">
        <f t="array" ref="O26">_xlfn.SWITCH(J26,"M","Medium","D","Dark","L","Light")</f>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_xlfn.LET(_xlpm.val,_xlfn.XLOOKUP(C27,customers!$A$1:$A$1001,customers!$C$1:$C$1001,,0),IF(_xlpm.val=0,"",_xlpm.val))</f>
        <v/>
      </c>
      <c r="H27" s="2" t="str">
        <f>_xlfn.LET(_xlpm.val,_xlfn.XLOOKUP(C27,customers!$A$1:$A$1001,customers!$G$1:$G$1001,,0),IF(_xlpm.val=0,"",_xlpm.val))</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cm="1">
        <f t="array" ref="N27">_xlfn.SWITCH(I27,"rob","Robusta","exc","Excelsa","Ara","Arabica","Lib","Liberica","")</f>
        <v>Excelsa</v>
      </c>
      <c r="O27" t="str" cm="1">
        <f t="array" ref="O27">_xlfn.SWITCH(J27,"M","Medium","D","Dark","L","Light")</f>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_xlfn.LET(_xlpm.val,_xlfn.XLOOKUP(C28,customers!$A$1:$A$1001,customers!$C$1:$C$1001,,0),IF(_xlpm.val=0,"",_xlpm.val))</f>
        <v>sshalesq@umich.edu</v>
      </c>
      <c r="H28" s="2" t="str">
        <f>_xlfn.LET(_xlpm.val,_xlfn.XLOOKUP(C28,customers!$A$1:$A$1001,customers!$G$1:$G$1001,,0),IF(_xlpm.val=0,"",_xlpm.val))</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_xlfn.SWITCH(I28,"rob","Robusta","exc","Excelsa","Ara","Arabica","Lib","Liberica","")</f>
        <v>Arabica</v>
      </c>
      <c r="O28" t="str" cm="1">
        <f t="array" ref="O28">_xlfn.SWITCH(J28,"M","Medium","D","Dark","L","Light")</f>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_xlfn.LET(_xlpm.val,_xlfn.XLOOKUP(C29,customers!$A$1:$A$1001,customers!$C$1:$C$1001,,0),IF(_xlpm.val=0,"",_xlpm.val))</f>
        <v>vdanneilr@mtv.com</v>
      </c>
      <c r="H29" s="2" t="str">
        <f>_xlfn.LET(_xlpm.val,_xlfn.XLOOKUP(C29,customers!$A$1:$A$1001,customers!$G$1:$G$1001,,0),IF(_xlpm.val=0,"",_xlpm.val))</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cm="1">
        <f t="array" ref="N29">_xlfn.SWITCH(I29,"rob","Robusta","exc","Excelsa","Ara","Arabica","Lib","Liberica","")</f>
        <v>Arabica</v>
      </c>
      <c r="O29" t="str" cm="1">
        <f t="array" ref="O29">_xlfn.SWITCH(J29,"M","Medium","D","Dark","L","Light")</f>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_xlfn.LET(_xlpm.val,_xlfn.XLOOKUP(C30,customers!$A$1:$A$1001,customers!$C$1:$C$1001,,0),IF(_xlpm.val=0,"",_xlpm.val))</f>
        <v>tnewburys@usda.gov</v>
      </c>
      <c r="H30" s="2" t="str">
        <f>_xlfn.LET(_xlpm.val,_xlfn.XLOOKUP(C30,customers!$A$1:$A$1001,customers!$G$1:$G$1001,,0),IF(_xlpm.val=0,"",_xlpm.val))</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_xlfn.SWITCH(I30,"rob","Robusta","exc","Excelsa","Ara","Arabica","Lib","Liberica","")</f>
        <v>Arabica</v>
      </c>
      <c r="O30" t="str" cm="1">
        <f t="array" ref="O30">_xlfn.SWITCH(J30,"M","Medium","D","Dark","L","Light")</f>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_xlfn.LET(_xlpm.val,_xlfn.XLOOKUP(C31,customers!$A$1:$A$1001,customers!$C$1:$C$1001,,0),IF(_xlpm.val=0,"",_xlpm.val))</f>
        <v>mcalcuttt@baidu.com</v>
      </c>
      <c r="H31" s="2" t="str">
        <f>_xlfn.LET(_xlpm.val,_xlfn.XLOOKUP(C31,customers!$A$1:$A$1001,customers!$G$1:$G$1001,,0),IF(_xlpm.val=0,"",_xlpm.val))</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_xlfn.SWITCH(I31,"rob","Robusta","exc","Excelsa","Ara","Arabica","Lib","Liberica","")</f>
        <v>Arabica</v>
      </c>
      <c r="O31" t="str" cm="1">
        <f t="array" ref="O31">_xlfn.SWITCH(J31,"M","Medium","D","Dark","L","Light")</f>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_xlfn.LET(_xlpm.val,_xlfn.XLOOKUP(C32,customers!$A$1:$A$1001,customers!$C$1:$C$1001,,0),IF(_xlpm.val=0,"",_xlpm.val))</f>
        <v/>
      </c>
      <c r="H32" s="2" t="str">
        <f>_xlfn.LET(_xlpm.val,_xlfn.XLOOKUP(C32,customers!$A$1:$A$1001,customers!$G$1:$G$1001,,0),IF(_xlpm.val=0,"",_xlpm.val))</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cm="1">
        <f t="array" ref="N32">_xlfn.SWITCH(I32,"rob","Robusta","exc","Excelsa","Ara","Arabica","Lib","Liberica","")</f>
        <v>Liberica</v>
      </c>
      <c r="O32" t="str" cm="1">
        <f t="array" ref="O32">_xlfn.SWITCH(J32,"M","Medium","D","Dark","L","Light")</f>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_xlfn.LET(_xlpm.val,_xlfn.XLOOKUP(C33,customers!$A$1:$A$1001,customers!$C$1:$C$1001,,0),IF(_xlpm.val=0,"",_xlpm.val))</f>
        <v/>
      </c>
      <c r="H33" s="2" t="str">
        <f>_xlfn.LET(_xlpm.val,_xlfn.XLOOKUP(C33,customers!$A$1:$A$1001,customers!$G$1:$G$1001,,0),IF(_xlpm.val=0,"",_xlpm.val))</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_xlfn.SWITCH(I33,"rob","Robusta","exc","Excelsa","Ara","Arabica","Lib","Liberica","")</f>
        <v>Arabica</v>
      </c>
      <c r="O33" t="str" cm="1">
        <f t="array" ref="O33">_xlfn.SWITCH(J33,"M","Medium","D","Dark","L","Light")</f>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_xlfn.LET(_xlpm.val,_xlfn.XLOOKUP(C34,customers!$A$1:$A$1001,customers!$C$1:$C$1001,,0),IF(_xlpm.val=0,"",_xlpm.val))</f>
        <v/>
      </c>
      <c r="H34" s="2" t="str">
        <f>_xlfn.LET(_xlpm.val,_xlfn.XLOOKUP(C34,customers!$A$1:$A$1001,customers!$G$1:$G$1001,,0),IF(_xlpm.val=0,"",_xlpm.val))</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_xlfn.SWITCH(I34,"rob","Robusta","exc","Excelsa","Ara","Arabica","Lib","Liberica","")</f>
        <v>Liberica</v>
      </c>
      <c r="O34" t="str" cm="1">
        <f t="array" ref="O34">_xlfn.SWITCH(J34,"M","Medium","D","Dark","L","Light")</f>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_xlfn.LET(_xlpm.val,_xlfn.XLOOKUP(C35,customers!$A$1:$A$1001,customers!$C$1:$C$1001,,0),IF(_xlpm.val=0,"",_xlpm.val))</f>
        <v>ggatheralx@123-reg.co.uk</v>
      </c>
      <c r="H35" s="2" t="str">
        <f>_xlfn.LET(_xlpm.val,_xlfn.XLOOKUP(C35,customers!$A$1:$A$1001,customers!$G$1:$G$1001,,0),IF(_xlpm.val=0,"",_xlpm.val))</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cm="1">
        <f t="array" ref="N35">_xlfn.SWITCH(I35,"rob","Robusta","exc","Excelsa","Ara","Arabica","Lib","Liberica","")</f>
        <v>Liberica</v>
      </c>
      <c r="O35" t="str" cm="1">
        <f t="array" ref="O35">_xlfn.SWITCH(J35,"M","Medium","D","Dark","L","Light")</f>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_xlfn.LET(_xlpm.val,_xlfn.XLOOKUP(C36,customers!$A$1:$A$1001,customers!$C$1:$C$1001,,0),IF(_xlpm.val=0,"",_xlpm.val))</f>
        <v>uwelberryy@ebay.co.uk</v>
      </c>
      <c r="H36" s="2" t="str">
        <f>_xlfn.LET(_xlpm.val,_xlfn.XLOOKUP(C36,customers!$A$1:$A$1001,customers!$G$1:$G$1001,,0),IF(_xlpm.val=0,"",_xlpm.val))</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_xlfn.SWITCH(I36,"rob","Robusta","exc","Excelsa","Ara","Arabica","Lib","Liberica","")</f>
        <v>Liberica</v>
      </c>
      <c r="O36" t="str" cm="1">
        <f t="array" ref="O36">_xlfn.SWITCH(J36,"M","Medium","D","Dark","L","Light")</f>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_xlfn.LET(_xlpm.val,_xlfn.XLOOKUP(C37,customers!$A$1:$A$1001,customers!$C$1:$C$1001,,0),IF(_xlpm.val=0,"",_xlpm.val))</f>
        <v>feilhartz@who.int</v>
      </c>
      <c r="H37" s="2" t="str">
        <f>_xlfn.LET(_xlpm.val,_xlfn.XLOOKUP(C37,customers!$A$1:$A$1001,customers!$G$1:$G$1001,,0),IF(_xlpm.val=0,"",_xlpm.val))</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_xlfn.SWITCH(I37,"rob","Robusta","exc","Excelsa","Ara","Arabica","Lib","Liberica","")</f>
        <v>Arabica</v>
      </c>
      <c r="O37" t="str" cm="1">
        <f t="array" ref="O37">_xlfn.SWITCH(J37,"M","Medium","D","Dark","L","Light")</f>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_xlfn.LET(_xlpm.val,_xlfn.XLOOKUP(C38,customers!$A$1:$A$1001,customers!$C$1:$C$1001,,0),IF(_xlpm.val=0,"",_xlpm.val))</f>
        <v>zponting10@altervista.org</v>
      </c>
      <c r="H38" s="2" t="str">
        <f>_xlfn.LET(_xlpm.val,_xlfn.XLOOKUP(C38,customers!$A$1:$A$1001,customers!$G$1:$G$1001,,0),IF(_xlpm.val=0,"",_xlpm.val))</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_xlfn.SWITCH(I38,"rob","Robusta","exc","Excelsa","Ara","Arabica","Lib","Liberica","")</f>
        <v>Liberica</v>
      </c>
      <c r="O38" t="str" cm="1">
        <f t="array" ref="O38">_xlfn.SWITCH(J38,"M","Medium","D","Dark","L","Light")</f>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_xlfn.LET(_xlpm.val,_xlfn.XLOOKUP(C39,customers!$A$1:$A$1001,customers!$C$1:$C$1001,,0),IF(_xlpm.val=0,"",_xlpm.val))</f>
        <v>sstrase11@booking.com</v>
      </c>
      <c r="H39" s="2" t="str">
        <f>_xlfn.LET(_xlpm.val,_xlfn.XLOOKUP(C39,customers!$A$1:$A$1001,customers!$G$1:$G$1001,,0),IF(_xlpm.val=0,"",_xlpm.val))</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_xlfn.SWITCH(I39,"rob","Robusta","exc","Excelsa","Ara","Arabica","Lib","Liberica","")</f>
        <v>Liberica</v>
      </c>
      <c r="O39" t="str" cm="1">
        <f t="array" ref="O39">_xlfn.SWITCH(J39,"M","Medium","D","Dark","L","Light")</f>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_xlfn.LET(_xlpm.val,_xlfn.XLOOKUP(C40,customers!$A$1:$A$1001,customers!$C$1:$C$1001,,0),IF(_xlpm.val=0,"",_xlpm.val))</f>
        <v>dde12@unesco.org</v>
      </c>
      <c r="H40" s="2" t="str">
        <f>_xlfn.LET(_xlpm.val,_xlfn.XLOOKUP(C40,customers!$A$1:$A$1001,customers!$G$1:$G$1001,,0),IF(_xlpm.val=0,"",_xlpm.val))</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cm="1">
        <f t="array" ref="N40">_xlfn.SWITCH(I40,"rob","Robusta","exc","Excelsa","Ara","Arabica","Lib","Liberica","")</f>
        <v>Robusta</v>
      </c>
      <c r="O40" t="str" cm="1">
        <f t="array" ref="O40">_xlfn.SWITCH(J40,"M","Medium","D","Dark","L","Light")</f>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_xlfn.LET(_xlpm.val,_xlfn.XLOOKUP(C41,customers!$A$1:$A$1001,customers!$C$1:$C$1001,,0),IF(_xlpm.val=0,"",_xlpm.val))</f>
        <v/>
      </c>
      <c r="H41" s="2" t="str">
        <f>_xlfn.LET(_xlpm.val,_xlfn.XLOOKUP(C41,customers!$A$1:$A$1001,customers!$G$1:$G$1001,,0),IF(_xlpm.val=0,"",_xlpm.val))</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cm="1">
        <f t="array" ref="N41">_xlfn.SWITCH(I41,"rob","Robusta","exc","Excelsa","Ara","Arabica","Lib","Liberica","")</f>
        <v>Robusta</v>
      </c>
      <c r="O41" t="str" cm="1">
        <f t="array" ref="O41">_xlfn.SWITCH(J41,"M","Medium","D","Dark","L","Light")</f>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_xlfn.LET(_xlpm.val,_xlfn.XLOOKUP(C42,customers!$A$1:$A$1001,customers!$C$1:$C$1001,,0),IF(_xlpm.val=0,"",_xlpm.val))</f>
        <v/>
      </c>
      <c r="H42" s="2" t="str">
        <f>_xlfn.LET(_xlpm.val,_xlfn.XLOOKUP(C42,customers!$A$1:$A$1001,customers!$G$1:$G$1001,,0),IF(_xlpm.val=0,"",_xlpm.val))</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cm="1">
        <f t="array" ref="N42">_xlfn.SWITCH(I42,"rob","Robusta","exc","Excelsa","Ara","Arabica","Lib","Liberica","")</f>
        <v>Liberica</v>
      </c>
      <c r="O42" t="str" cm="1">
        <f t="array" ref="O42">_xlfn.SWITCH(J42,"M","Medium","D","Dark","L","Light")</f>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_xlfn.LET(_xlpm.val,_xlfn.XLOOKUP(C43,customers!$A$1:$A$1001,customers!$C$1:$C$1001,,0),IF(_xlpm.val=0,"",_xlpm.val))</f>
        <v>lyeoland15@pbs.org</v>
      </c>
      <c r="H43" s="2" t="str">
        <f>_xlfn.LET(_xlpm.val,_xlfn.XLOOKUP(C43,customers!$A$1:$A$1001,customers!$G$1:$G$1001,,0),IF(_xlpm.val=0,"",_xlpm.val))</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_xlfn.SWITCH(I43,"rob","Robusta","exc","Excelsa","Ara","Arabica","Lib","Liberica","")</f>
        <v>Excelsa</v>
      </c>
      <c r="O43" t="str" cm="1">
        <f t="array" ref="O43">_xlfn.SWITCH(J43,"M","Medium","D","Dark","L","Light")</f>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_xlfn.LET(_xlpm.val,_xlfn.XLOOKUP(C44,customers!$A$1:$A$1001,customers!$C$1:$C$1001,,0),IF(_xlpm.val=0,"",_xlpm.val))</f>
        <v>atolworthy16@toplist.cz</v>
      </c>
      <c r="H44" s="2" t="str">
        <f>_xlfn.LET(_xlpm.val,_xlfn.XLOOKUP(C44,customers!$A$1:$A$1001,customers!$G$1:$G$1001,,0),IF(_xlpm.val=0,"",_xlpm.val))</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cm="1">
        <f t="array" ref="N44">_xlfn.SWITCH(I44,"rob","Robusta","exc","Excelsa","Ara","Arabica","Lib","Liberica","")</f>
        <v>Robusta</v>
      </c>
      <c r="O44" t="str" cm="1">
        <f t="array" ref="O44">_xlfn.SWITCH(J44,"M","Medium","D","Dark","L","Light")</f>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_xlfn.LET(_xlpm.val,_xlfn.XLOOKUP(C45,customers!$A$1:$A$1001,customers!$C$1:$C$1001,,0),IF(_xlpm.val=0,"",_xlpm.val))</f>
        <v/>
      </c>
      <c r="H45" s="2" t="str">
        <f>_xlfn.LET(_xlpm.val,_xlfn.XLOOKUP(C45,customers!$A$1:$A$1001,customers!$G$1:$G$1001,,0),IF(_xlpm.val=0,"",_xlpm.val))</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_xlfn.SWITCH(I45,"rob","Robusta","exc","Excelsa","Ara","Arabica","Lib","Liberica","")</f>
        <v>Liberica</v>
      </c>
      <c r="O45" t="str" cm="1">
        <f t="array" ref="O45">_xlfn.SWITCH(J45,"M","Medium","D","Dark","L","Light")</f>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_xlfn.LET(_xlpm.val,_xlfn.XLOOKUP(C46,customers!$A$1:$A$1001,customers!$C$1:$C$1001,,0),IF(_xlpm.val=0,"",_xlpm.val))</f>
        <v>obaudassi18@seesaa.net</v>
      </c>
      <c r="H46" s="2" t="str">
        <f>_xlfn.LET(_xlpm.val,_xlfn.XLOOKUP(C46,customers!$A$1:$A$1001,customers!$G$1:$G$1001,,0),IF(_xlpm.val=0,"",_xlpm.val))</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_xlfn.SWITCH(I46,"rob","Robusta","exc","Excelsa","Ara","Arabica","Lib","Liberica","")</f>
        <v>Excelsa</v>
      </c>
      <c r="O46" t="str" cm="1">
        <f t="array" ref="O46">_xlfn.SWITCH(J46,"M","Medium","D","Dark","L","Light")</f>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_xlfn.LET(_xlpm.val,_xlfn.XLOOKUP(C47,customers!$A$1:$A$1001,customers!$C$1:$C$1001,,0),IF(_xlpm.val=0,"",_xlpm.val))</f>
        <v>pkingsbury19@comcast.net</v>
      </c>
      <c r="H47" s="2" t="str">
        <f>_xlfn.LET(_xlpm.val,_xlfn.XLOOKUP(C47,customers!$A$1:$A$1001,customers!$G$1:$G$1001,,0),IF(_xlpm.val=0,"",_xlpm.val))</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cm="1">
        <f t="array" ref="N47">_xlfn.SWITCH(I47,"rob","Robusta","exc","Excelsa","Ara","Arabica","Lib","Liberica","")</f>
        <v>Liberica</v>
      </c>
      <c r="O47" t="str" cm="1">
        <f t="array" ref="O47">_xlfn.SWITCH(J47,"M","Medium","D","Dark","L","Light")</f>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_xlfn.LET(_xlpm.val,_xlfn.XLOOKUP(C48,customers!$A$1:$A$1001,customers!$C$1:$C$1001,,0),IF(_xlpm.val=0,"",_xlpm.val))</f>
        <v/>
      </c>
      <c r="H48" s="2" t="str">
        <f>_xlfn.LET(_xlpm.val,_xlfn.XLOOKUP(C48,customers!$A$1:$A$1001,customers!$G$1:$G$1001,,0),IF(_xlpm.val=0,"",_xlpm.val))</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cm="1">
        <f t="array" ref="N48">_xlfn.SWITCH(I48,"rob","Robusta","exc","Excelsa","Ara","Arabica","Lib","Liberica","")</f>
        <v>Excelsa</v>
      </c>
      <c r="O48" t="str" cm="1">
        <f t="array" ref="O48">_xlfn.SWITCH(J48,"M","Medium","D","Dark","L","Light")</f>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_xlfn.LET(_xlpm.val,_xlfn.XLOOKUP(C49,customers!$A$1:$A$1001,customers!$C$1:$C$1001,,0),IF(_xlpm.val=0,"",_xlpm.val))</f>
        <v>acurley1b@hao123.com</v>
      </c>
      <c r="H49" s="2" t="str">
        <f>_xlfn.LET(_xlpm.val,_xlfn.XLOOKUP(C49,customers!$A$1:$A$1001,customers!$G$1:$G$1001,,0),IF(_xlpm.val=0,"",_xlpm.val))</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_xlfn.SWITCH(I49,"rob","Robusta","exc","Excelsa","Ara","Arabica","Lib","Liberica","")</f>
        <v>Arabica</v>
      </c>
      <c r="O49" t="str" cm="1">
        <f t="array" ref="O49">_xlfn.SWITCH(J49,"M","Medium","D","Dark","L","Light")</f>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_xlfn.LET(_xlpm.val,_xlfn.XLOOKUP(C50,customers!$A$1:$A$1001,customers!$C$1:$C$1001,,0),IF(_xlpm.val=0,"",_xlpm.val))</f>
        <v>rmcgilvary1c@tamu.edu</v>
      </c>
      <c r="H50" s="2" t="str">
        <f>_xlfn.LET(_xlpm.val,_xlfn.XLOOKUP(C50,customers!$A$1:$A$1001,customers!$G$1:$G$1001,,0),IF(_xlpm.val=0,"",_xlpm.val))</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cm="1">
        <f t="array" ref="N50">_xlfn.SWITCH(I50,"rob","Robusta","exc","Excelsa","Ara","Arabica","Lib","Liberica","")</f>
        <v>Arabica</v>
      </c>
      <c r="O50" t="str" cm="1">
        <f t="array" ref="O50">_xlfn.SWITCH(J50,"M","Medium","D","Dark","L","Light")</f>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_xlfn.LET(_xlpm.val,_xlfn.XLOOKUP(C51,customers!$A$1:$A$1001,customers!$C$1:$C$1001,,0),IF(_xlpm.val=0,"",_xlpm.val))</f>
        <v>ipikett1d@xinhuanet.com</v>
      </c>
      <c r="H51" s="2" t="str">
        <f>_xlfn.LET(_xlpm.val,_xlfn.XLOOKUP(C51,customers!$A$1:$A$1001,customers!$G$1:$G$1001,,0),IF(_xlpm.val=0,"",_xlpm.val))</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cm="1">
        <f t="array" ref="N51">_xlfn.SWITCH(I51,"rob","Robusta","exc","Excelsa","Ara","Arabica","Lib","Liberica","")</f>
        <v>Arabica</v>
      </c>
      <c r="O51" t="str" cm="1">
        <f t="array" ref="O51">_xlfn.SWITCH(J51,"M","Medium","D","Dark","L","Light")</f>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_xlfn.LET(_xlpm.val,_xlfn.XLOOKUP(C52,customers!$A$1:$A$1001,customers!$C$1:$C$1001,,0),IF(_xlpm.val=0,"",_xlpm.val))</f>
        <v>ibouldon1e@gizmodo.com</v>
      </c>
      <c r="H52" s="2" t="str">
        <f>_xlfn.LET(_xlpm.val,_xlfn.XLOOKUP(C52,customers!$A$1:$A$1001,customers!$G$1:$G$1001,,0),IF(_xlpm.val=0,"",_xlpm.val))</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_xlfn.SWITCH(I52,"rob","Robusta","exc","Excelsa","Ara","Arabica","Lib","Liberica","")</f>
        <v>Liberica</v>
      </c>
      <c r="O52" t="str" cm="1">
        <f t="array" ref="O52">_xlfn.SWITCH(J52,"M","Medium","D","Dark","L","Light")</f>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_xlfn.LET(_xlpm.val,_xlfn.XLOOKUP(C53,customers!$A$1:$A$1001,customers!$C$1:$C$1001,,0),IF(_xlpm.val=0,"",_xlpm.val))</f>
        <v>kflanders1f@over-blog.com</v>
      </c>
      <c r="H53" s="2" t="str">
        <f>_xlfn.LET(_xlpm.val,_xlfn.XLOOKUP(C53,customers!$A$1:$A$1001,customers!$G$1:$G$1001,,0),IF(_xlpm.val=0,"",_xlpm.val))</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_xlfn.SWITCH(I53,"rob","Robusta","exc","Excelsa","Ara","Arabica","Lib","Liberica","")</f>
        <v>Liberica</v>
      </c>
      <c r="O53" t="str" cm="1">
        <f t="array" ref="O53">_xlfn.SWITCH(J53,"M","Medium","D","Dark","L","Light")</f>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_xlfn.LET(_xlpm.val,_xlfn.XLOOKUP(C54,customers!$A$1:$A$1001,customers!$C$1:$C$1001,,0),IF(_xlpm.val=0,"",_xlpm.val))</f>
        <v>hmattioli1g@webmd.com</v>
      </c>
      <c r="H54" s="2" t="str">
        <f>_xlfn.LET(_xlpm.val,_xlfn.XLOOKUP(C54,customers!$A$1:$A$1001,customers!$G$1:$G$1001,,0),IF(_xlpm.val=0,"",_xlpm.val))</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cm="1">
        <f t="array" ref="N54">_xlfn.SWITCH(I54,"rob","Robusta","exc","Excelsa","Ara","Arabica","Lib","Liberica","")</f>
        <v>Robusta</v>
      </c>
      <c r="O54" t="str" cm="1">
        <f t="array" ref="O54">_xlfn.SWITCH(J54,"M","Medium","D","Dark","L","Light")</f>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_xlfn.LET(_xlpm.val,_xlfn.XLOOKUP(C55,customers!$A$1:$A$1001,customers!$C$1:$C$1001,,0),IF(_xlpm.val=0,"",_xlpm.val))</f>
        <v>hmattioli1g@webmd.com</v>
      </c>
      <c r="H55" s="2" t="str">
        <f>_xlfn.LET(_xlpm.val,_xlfn.XLOOKUP(C55,customers!$A$1:$A$1001,customers!$G$1:$G$1001,,0),IF(_xlpm.val=0,"",_xlpm.val))</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_xlfn.SWITCH(I55,"rob","Robusta","exc","Excelsa","Ara","Arabica","Lib","Liberica","")</f>
        <v>Liberica</v>
      </c>
      <c r="O55" t="str" cm="1">
        <f t="array" ref="O55">_xlfn.SWITCH(J55,"M","Medium","D","Dark","L","Light")</f>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_xlfn.LET(_xlpm.val,_xlfn.XLOOKUP(C56,customers!$A$1:$A$1001,customers!$C$1:$C$1001,,0),IF(_xlpm.val=0,"",_xlpm.val))</f>
        <v>agillard1i@issuu.com</v>
      </c>
      <c r="H56" s="2" t="str">
        <f>_xlfn.LET(_xlpm.val,_xlfn.XLOOKUP(C56,customers!$A$1:$A$1001,customers!$G$1:$G$1001,,0),IF(_xlpm.val=0,"",_xlpm.val))</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_xlfn.SWITCH(I56,"rob","Robusta","exc","Excelsa","Ara","Arabica","Lib","Liberica","")</f>
        <v>Liberica</v>
      </c>
      <c r="O56" t="str" cm="1">
        <f t="array" ref="O56">_xlfn.SWITCH(J56,"M","Medium","D","Dark","L","Light")</f>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_xlfn.LET(_xlpm.val,_xlfn.XLOOKUP(C57,customers!$A$1:$A$1001,customers!$C$1:$C$1001,,0),IF(_xlpm.val=0,"",_xlpm.val))</f>
        <v/>
      </c>
      <c r="H57" s="2" t="str">
        <f>_xlfn.LET(_xlpm.val,_xlfn.XLOOKUP(C57,customers!$A$1:$A$1001,customers!$G$1:$G$1001,,0),IF(_xlpm.val=0,"",_xlpm.val))</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_xlfn.SWITCH(I57,"rob","Robusta","exc","Excelsa","Ara","Arabica","Lib","Liberica","")</f>
        <v>Liberica</v>
      </c>
      <c r="O57" t="str" cm="1">
        <f t="array" ref="O57">_xlfn.SWITCH(J57,"M","Medium","D","Dark","L","Light")</f>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_xlfn.LET(_xlpm.val,_xlfn.XLOOKUP(C58,customers!$A$1:$A$1001,customers!$C$1:$C$1001,,0),IF(_xlpm.val=0,"",_xlpm.val))</f>
        <v>tgrizard1k@odnoklassniki.ru</v>
      </c>
      <c r="H58" s="2" t="str">
        <f>_xlfn.LET(_xlpm.val,_xlfn.XLOOKUP(C58,customers!$A$1:$A$1001,customers!$G$1:$G$1001,,0),IF(_xlpm.val=0,"",_xlpm.val))</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cm="1">
        <f t="array" ref="N58">_xlfn.SWITCH(I58,"rob","Robusta","exc","Excelsa","Ara","Arabica","Lib","Liberica","")</f>
        <v>Excelsa</v>
      </c>
      <c r="O58" t="str" cm="1">
        <f t="array" ref="O58">_xlfn.SWITCH(J58,"M","Medium","D","Dark","L","Light")</f>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_xlfn.LET(_xlpm.val,_xlfn.XLOOKUP(C59,customers!$A$1:$A$1001,customers!$C$1:$C$1001,,0),IF(_xlpm.val=0,"",_xlpm.val))</f>
        <v>rrelton1l@stanford.edu</v>
      </c>
      <c r="H59" s="2" t="str">
        <f>_xlfn.LET(_xlpm.val,_xlfn.XLOOKUP(C59,customers!$A$1:$A$1001,customers!$G$1:$G$1001,,0),IF(_xlpm.val=0,"",_xlpm.val))</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_xlfn.SWITCH(I59,"rob","Robusta","exc","Excelsa","Ara","Arabica","Lib","Liberica","")</f>
        <v>Excelsa</v>
      </c>
      <c r="O59" t="str" cm="1">
        <f t="array" ref="O59">_xlfn.SWITCH(J59,"M","Medium","D","Dark","L","Light")</f>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_xlfn.LET(_xlpm.val,_xlfn.XLOOKUP(C60,customers!$A$1:$A$1001,customers!$C$1:$C$1001,,0),IF(_xlpm.val=0,"",_xlpm.val))</f>
        <v/>
      </c>
      <c r="H60" s="2" t="str">
        <f>_xlfn.LET(_xlpm.val,_xlfn.XLOOKUP(C60,customers!$A$1:$A$1001,customers!$G$1:$G$1001,,0),IF(_xlpm.val=0,"",_xlpm.val))</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cm="1">
        <f t="array" ref="N60">_xlfn.SWITCH(I60,"rob","Robusta","exc","Excelsa","Ara","Arabica","Lib","Liberica","")</f>
        <v>Liberica</v>
      </c>
      <c r="O60" t="str" cm="1">
        <f t="array" ref="O60">_xlfn.SWITCH(J60,"M","Medium","D","Dark","L","Light")</f>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_xlfn.LET(_xlpm.val,_xlfn.XLOOKUP(C61,customers!$A$1:$A$1001,customers!$C$1:$C$1001,,0),IF(_xlpm.val=0,"",_xlpm.val))</f>
        <v>sgilroy1n@eepurl.com</v>
      </c>
      <c r="H61" s="2" t="str">
        <f>_xlfn.LET(_xlpm.val,_xlfn.XLOOKUP(C61,customers!$A$1:$A$1001,customers!$G$1:$G$1001,,0),IF(_xlpm.val=0,"",_xlpm.val))</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_xlfn.SWITCH(I61,"rob","Robusta","exc","Excelsa","Ara","Arabica","Lib","Liberica","")</f>
        <v>Liberica</v>
      </c>
      <c r="O61" t="str" cm="1">
        <f t="array" ref="O61">_xlfn.SWITCH(J61,"M","Medium","D","Dark","L","Light")</f>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_xlfn.LET(_xlpm.val,_xlfn.XLOOKUP(C62,customers!$A$1:$A$1001,customers!$C$1:$C$1001,,0),IF(_xlpm.val=0,"",_xlpm.val))</f>
        <v>ccottingham1o@wikipedia.org</v>
      </c>
      <c r="H62" s="2" t="str">
        <f>_xlfn.LET(_xlpm.val,_xlfn.XLOOKUP(C62,customers!$A$1:$A$1001,customers!$G$1:$G$1001,,0),IF(_xlpm.val=0,"",_xlpm.val))</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cm="1">
        <f t="array" ref="N62">_xlfn.SWITCH(I62,"rob","Robusta","exc","Excelsa","Ara","Arabica","Lib","Liberica","")</f>
        <v>Arabica</v>
      </c>
      <c r="O62" t="str" cm="1">
        <f t="array" ref="O62">_xlfn.SWITCH(J62,"M","Medium","D","Dark","L","Light")</f>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_xlfn.LET(_xlpm.val,_xlfn.XLOOKUP(C63,customers!$A$1:$A$1001,customers!$C$1:$C$1001,,0),IF(_xlpm.val=0,"",_xlpm.val))</f>
        <v/>
      </c>
      <c r="H63" s="2" t="str">
        <f>_xlfn.LET(_xlpm.val,_xlfn.XLOOKUP(C63,customers!$A$1:$A$1001,customers!$G$1:$G$1001,,0),IF(_xlpm.val=0,"",_xlpm.val))</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cm="1">
        <f t="array" ref="N63">_xlfn.SWITCH(I63,"rob","Robusta","exc","Excelsa","Ara","Arabica","Lib","Liberica","")</f>
        <v>Robusta</v>
      </c>
      <c r="O63" t="str" cm="1">
        <f t="array" ref="O63">_xlfn.SWITCH(J63,"M","Medium","D","Dark","L","Light")</f>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_xlfn.LET(_xlpm.val,_xlfn.XLOOKUP(C64,customers!$A$1:$A$1001,customers!$C$1:$C$1001,,0),IF(_xlpm.val=0,"",_xlpm.val))</f>
        <v/>
      </c>
      <c r="H64" s="2" t="str">
        <f>_xlfn.LET(_xlpm.val,_xlfn.XLOOKUP(C64,customers!$A$1:$A$1001,customers!$G$1:$G$1001,,0),IF(_xlpm.val=0,"",_xlpm.val))</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cm="1">
        <f t="array" ref="N64">_xlfn.SWITCH(I64,"rob","Robusta","exc","Excelsa","Ara","Arabica","Lib","Liberica","")</f>
        <v>Liberica</v>
      </c>
      <c r="O64" t="str" cm="1">
        <f t="array" ref="O64">_xlfn.SWITCH(J64,"M","Medium","D","Dark","L","Light")</f>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_xlfn.LET(_xlpm.val,_xlfn.XLOOKUP(C65,customers!$A$1:$A$1001,customers!$C$1:$C$1001,,0),IF(_xlpm.val=0,"",_xlpm.val))</f>
        <v>adykes1r@eventbrite.com</v>
      </c>
      <c r="H65" s="2" t="str">
        <f>_xlfn.LET(_xlpm.val,_xlfn.XLOOKUP(C65,customers!$A$1:$A$1001,customers!$G$1:$G$1001,,0),IF(_xlpm.val=0,"",_xlpm.val))</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_xlfn.SWITCH(I65,"rob","Robusta","exc","Excelsa","Ara","Arabica","Lib","Liberica","")</f>
        <v>Arabica</v>
      </c>
      <c r="O65" t="str" cm="1">
        <f t="array" ref="O65">_xlfn.SWITCH(J65,"M","Medium","D","Dark","L","Light")</f>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_xlfn.LET(_xlpm.val,_xlfn.XLOOKUP(C66,customers!$A$1:$A$1001,customers!$C$1:$C$1001,,0),IF(_xlpm.val=0,"",_xlpm.val))</f>
        <v/>
      </c>
      <c r="H66" s="2" t="str">
        <f>_xlfn.LET(_xlpm.val,_xlfn.XLOOKUP(C66,customers!$A$1:$A$1001,customers!$G$1:$G$1001,,0),IF(_xlpm.val=0,"",_xlpm.val))</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_xlfn.SWITCH(I66,"rob","Robusta","exc","Excelsa","Ara","Arabica","Lib","Liberica","")</f>
        <v>Robusta</v>
      </c>
      <c r="O66" t="str" cm="1">
        <f t="array" ref="O66">_xlfn.SWITCH(J66,"M","Medium","D","Dark","L","Light")</f>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_xlfn.LET(_xlpm.val,_xlfn.XLOOKUP(C67,customers!$A$1:$A$1001,customers!$C$1:$C$1001,,0),IF(_xlpm.val=0,"",_xlpm.val))</f>
        <v>acockrem1t@engadget.com</v>
      </c>
      <c r="H67" s="2" t="str">
        <f>_xlfn.LET(_xlpm.val,_xlfn.XLOOKUP(C67,customers!$A$1:$A$1001,customers!$G$1:$G$1001,,0),IF(_xlpm.val=0,"",_xlpm.val))</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L67*E67</f>
        <v>82.339999999999989</v>
      </c>
      <c r="N67" t="str" cm="1">
        <f t="array" ref="N67">_xlfn.SWITCH(I67,"rob","Robusta","exc","Excelsa","Ara","Arabica","Lib","Liberica","")</f>
        <v>Robusta</v>
      </c>
      <c r="O67" t="str" cm="1">
        <f t="array" ref="O67">_xlfn.SWITCH(J67,"M","Medium","D","Dark","L","Light")</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_xlfn.LET(_xlpm.val,_xlfn.XLOOKUP(C68,customers!$A$1:$A$1001,customers!$C$1:$C$1001,,0),IF(_xlpm.val=0,"",_xlpm.val))</f>
        <v>bumpleby1u@soundcloud.com</v>
      </c>
      <c r="H68" s="2" t="str">
        <f>_xlfn.LET(_xlpm.val,_xlfn.XLOOKUP(C68,customers!$A$1:$A$1001,customers!$G$1:$G$1001,,0),IF(_xlpm.val=0,"",_xlpm.val))</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cm="1">
        <f t="array" ref="N68">_xlfn.SWITCH(I68,"rob","Robusta","exc","Excelsa","Ara","Arabica","Lib","Liberica","")</f>
        <v>Robusta</v>
      </c>
      <c r="O68" t="str" cm="1">
        <f t="array" ref="O68">_xlfn.SWITCH(J68,"M","Medium","D","Dark","L","Light")</f>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_xlfn.LET(_xlpm.val,_xlfn.XLOOKUP(C69,customers!$A$1:$A$1001,customers!$C$1:$C$1001,,0),IF(_xlpm.val=0,"",_xlpm.val))</f>
        <v>nsaleway1v@dedecms.com</v>
      </c>
      <c r="H69" s="2" t="str">
        <f>_xlfn.LET(_xlpm.val,_xlfn.XLOOKUP(C69,customers!$A$1:$A$1001,customers!$G$1:$G$1001,,0),IF(_xlpm.val=0,"",_xlpm.val))</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cm="1">
        <f t="array" ref="N69">_xlfn.SWITCH(I69,"rob","Robusta","exc","Excelsa","Ara","Arabica","Lib","Liberica","")</f>
        <v>Liberica</v>
      </c>
      <c r="O69" t="str" cm="1">
        <f t="array" ref="O69">_xlfn.SWITCH(J69,"M","Medium","D","Dark","L","Light")</f>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_xlfn.LET(_xlpm.val,_xlfn.XLOOKUP(C70,customers!$A$1:$A$1001,customers!$C$1:$C$1001,,0),IF(_xlpm.val=0,"",_xlpm.val))</f>
        <v>hgoulter1w@abc.net.au</v>
      </c>
      <c r="H70" s="2" t="str">
        <f>_xlfn.LET(_xlpm.val,_xlfn.XLOOKUP(C70,customers!$A$1:$A$1001,customers!$G$1:$G$1001,,0),IF(_xlpm.val=0,"",_xlpm.val))</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cm="1">
        <f t="array" ref="N70">_xlfn.SWITCH(I70,"rob","Robusta","exc","Excelsa","Ara","Arabica","Lib","Liberica","")</f>
        <v>Robusta</v>
      </c>
      <c r="O70" t="str" cm="1">
        <f t="array" ref="O70">_xlfn.SWITCH(J70,"M","Medium","D","Dark","L","Light")</f>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_xlfn.LET(_xlpm.val,_xlfn.XLOOKUP(C71,customers!$A$1:$A$1001,customers!$C$1:$C$1001,,0),IF(_xlpm.val=0,"",_xlpm.val))</f>
        <v>grizzello1x@symantec.com</v>
      </c>
      <c r="H71" s="2" t="str">
        <f>_xlfn.LET(_xlpm.val,_xlfn.XLOOKUP(C71,customers!$A$1:$A$1001,customers!$G$1:$G$1001,,0),IF(_xlpm.val=0,"",_xlpm.val))</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cm="1">
        <f t="array" ref="N71">_xlfn.SWITCH(I71,"rob","Robusta","exc","Excelsa","Ara","Arabica","Lib","Liberica","")</f>
        <v>Robusta</v>
      </c>
      <c r="O71" t="str" cm="1">
        <f t="array" ref="O71">_xlfn.SWITCH(J71,"M","Medium","D","Dark","L","Light")</f>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_xlfn.LET(_xlpm.val,_xlfn.XLOOKUP(C72,customers!$A$1:$A$1001,customers!$C$1:$C$1001,,0),IF(_xlpm.val=0,"",_xlpm.val))</f>
        <v>slist1y@mapquest.com</v>
      </c>
      <c r="H72" s="2" t="str">
        <f>_xlfn.LET(_xlpm.val,_xlfn.XLOOKUP(C72,customers!$A$1:$A$1001,customers!$G$1:$G$1001,,0),IF(_xlpm.val=0,"",_xlpm.val))</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cm="1">
        <f t="array" ref="N72">_xlfn.SWITCH(I72,"rob","Robusta","exc","Excelsa","Ara","Arabica","Lib","Liberica","")</f>
        <v>Excelsa</v>
      </c>
      <c r="O72" t="str" cm="1">
        <f t="array" ref="O72">_xlfn.SWITCH(J72,"M","Medium","D","Dark","L","Light")</f>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_xlfn.LET(_xlpm.val,_xlfn.XLOOKUP(C73,customers!$A$1:$A$1001,customers!$C$1:$C$1001,,0),IF(_xlpm.val=0,"",_xlpm.val))</f>
        <v>sedmondson1z@theguardian.com</v>
      </c>
      <c r="H73" s="2" t="str">
        <f>_xlfn.LET(_xlpm.val,_xlfn.XLOOKUP(C73,customers!$A$1:$A$1001,customers!$G$1:$G$1001,,0),IF(_xlpm.val=0,"",_xlpm.val))</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cm="1">
        <f t="array" ref="N73">_xlfn.SWITCH(I73,"rob","Robusta","exc","Excelsa","Ara","Arabica","Lib","Liberica","")</f>
        <v>Liberica</v>
      </c>
      <c r="O73" t="str" cm="1">
        <f t="array" ref="O73">_xlfn.SWITCH(J73,"M","Medium","D","Dark","L","Light")</f>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_xlfn.LET(_xlpm.val,_xlfn.XLOOKUP(C74,customers!$A$1:$A$1001,customers!$C$1:$C$1001,,0),IF(_xlpm.val=0,"",_xlpm.val))</f>
        <v/>
      </c>
      <c r="H74" s="2" t="str">
        <f>_xlfn.LET(_xlpm.val,_xlfn.XLOOKUP(C74,customers!$A$1:$A$1001,customers!$G$1:$G$1001,,0),IF(_xlpm.val=0,"",_xlpm.val))</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cm="1">
        <f t="array" ref="N74">_xlfn.SWITCH(I74,"rob","Robusta","exc","Excelsa","Ara","Arabica","Lib","Liberica","")</f>
        <v>Arabica</v>
      </c>
      <c r="O74" t="str" cm="1">
        <f t="array" ref="O74">_xlfn.SWITCH(J74,"M","Medium","D","Dark","L","Light")</f>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_xlfn.LET(_xlpm.val,_xlfn.XLOOKUP(C75,customers!$A$1:$A$1001,customers!$C$1:$C$1001,,0),IF(_xlpm.val=0,"",_xlpm.val))</f>
        <v/>
      </c>
      <c r="H75" s="2" t="str">
        <f>_xlfn.LET(_xlpm.val,_xlfn.XLOOKUP(C75,customers!$A$1:$A$1001,customers!$G$1:$G$1001,,0),IF(_xlpm.val=0,"",_xlpm.val))</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cm="1">
        <f t="array" ref="N75">_xlfn.SWITCH(I75,"rob","Robusta","exc","Excelsa","Ara","Arabica","Lib","Liberica","")</f>
        <v>Liberica</v>
      </c>
      <c r="O75" t="str" cm="1">
        <f t="array" ref="O75">_xlfn.SWITCH(J75,"M","Medium","D","Dark","L","Light")</f>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_xlfn.LET(_xlpm.val,_xlfn.XLOOKUP(C76,customers!$A$1:$A$1001,customers!$C$1:$C$1001,,0),IF(_xlpm.val=0,"",_xlpm.val))</f>
        <v>jrangall22@newsvine.com</v>
      </c>
      <c r="H76" s="2" t="str">
        <f>_xlfn.LET(_xlpm.val,_xlfn.XLOOKUP(C76,customers!$A$1:$A$1001,customers!$G$1:$G$1001,,0),IF(_xlpm.val=0,"",_xlpm.val))</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cm="1">
        <f t="array" ref="N76">_xlfn.SWITCH(I76,"rob","Robusta","exc","Excelsa","Ara","Arabica","Lib","Liberica","")</f>
        <v>Excelsa</v>
      </c>
      <c r="O76" t="str" cm="1">
        <f t="array" ref="O76">_xlfn.SWITCH(J76,"M","Medium","D","Dark","L","Light")</f>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_xlfn.LET(_xlpm.val,_xlfn.XLOOKUP(C77,customers!$A$1:$A$1001,customers!$C$1:$C$1001,,0),IF(_xlpm.val=0,"",_xlpm.val))</f>
        <v>kboorn23@ezinearticles.com</v>
      </c>
      <c r="H77" s="2" t="str">
        <f>_xlfn.LET(_xlpm.val,_xlfn.XLOOKUP(C77,customers!$A$1:$A$1001,customers!$G$1:$G$1001,,0),IF(_xlpm.val=0,"",_xlpm.val))</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cm="1">
        <f t="array" ref="N77">_xlfn.SWITCH(I77,"rob","Robusta","exc","Excelsa","Ara","Arabica","Lib","Liberica","")</f>
        <v>Robusta</v>
      </c>
      <c r="O77" t="str" cm="1">
        <f t="array" ref="O77">_xlfn.SWITCH(J77,"M","Medium","D","Dark","L","Light")</f>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_xlfn.LET(_xlpm.val,_xlfn.XLOOKUP(C78,customers!$A$1:$A$1001,customers!$C$1:$C$1001,,0),IF(_xlpm.val=0,"",_xlpm.val))</f>
        <v/>
      </c>
      <c r="H78" s="2" t="str">
        <f>_xlfn.LET(_xlpm.val,_xlfn.XLOOKUP(C78,customers!$A$1:$A$1001,customers!$G$1:$G$1001,,0),IF(_xlpm.val=0,"",_xlpm.val))</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cm="1">
        <f t="array" ref="N78">_xlfn.SWITCH(I78,"rob","Robusta","exc","Excelsa","Ara","Arabica","Lib","Liberica","")</f>
        <v>Robusta</v>
      </c>
      <c r="O78" t="str" cm="1">
        <f t="array" ref="O78">_xlfn.SWITCH(J78,"M","Medium","D","Dark","L","Light")</f>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_xlfn.LET(_xlpm.val,_xlfn.XLOOKUP(C79,customers!$A$1:$A$1001,customers!$C$1:$C$1001,,0),IF(_xlpm.val=0,"",_xlpm.val))</f>
        <v>celgey25@webs.com</v>
      </c>
      <c r="H79" s="2" t="str">
        <f>_xlfn.LET(_xlpm.val,_xlfn.XLOOKUP(C79,customers!$A$1:$A$1001,customers!$G$1:$G$1001,,0),IF(_xlpm.val=0,"",_xlpm.val))</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cm="1">
        <f t="array" ref="N79">_xlfn.SWITCH(I79,"rob","Robusta","exc","Excelsa","Ara","Arabica","Lib","Liberica","")</f>
        <v>Excelsa</v>
      </c>
      <c r="O79" t="str" cm="1">
        <f t="array" ref="O79">_xlfn.SWITCH(J79,"M","Medium","D","Dark","L","Light")</f>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_xlfn.LET(_xlpm.val,_xlfn.XLOOKUP(C80,customers!$A$1:$A$1001,customers!$C$1:$C$1001,,0),IF(_xlpm.val=0,"",_xlpm.val))</f>
        <v>lmizzi26@rakuten.co.jp</v>
      </c>
      <c r="H80" s="2" t="str">
        <f>_xlfn.LET(_xlpm.val,_xlfn.XLOOKUP(C80,customers!$A$1:$A$1001,customers!$G$1:$G$1001,,0),IF(_xlpm.val=0,"",_xlpm.val))</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cm="1">
        <f t="array" ref="N80">_xlfn.SWITCH(I80,"rob","Robusta","exc","Excelsa","Ara","Arabica","Lib","Liberica","")</f>
        <v>Arabica</v>
      </c>
      <c r="O80" t="str" cm="1">
        <f t="array" ref="O80">_xlfn.SWITCH(J80,"M","Medium","D","Dark","L","Light")</f>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_xlfn.LET(_xlpm.val,_xlfn.XLOOKUP(C81,customers!$A$1:$A$1001,customers!$C$1:$C$1001,,0),IF(_xlpm.val=0,"",_xlpm.val))</f>
        <v>cgiacomazzo27@jigsy.com</v>
      </c>
      <c r="H81" s="2" t="str">
        <f>_xlfn.LET(_xlpm.val,_xlfn.XLOOKUP(C81,customers!$A$1:$A$1001,customers!$G$1:$G$1001,,0),IF(_xlpm.val=0,"",_xlpm.val))</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cm="1">
        <f t="array" ref="N81">_xlfn.SWITCH(I81,"rob","Robusta","exc","Excelsa","Ara","Arabica","Lib","Liberica","")</f>
        <v>Robusta</v>
      </c>
      <c r="O81" t="str" cm="1">
        <f t="array" ref="O81">_xlfn.SWITCH(J81,"M","Medium","D","Dark","L","Light")</f>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_xlfn.LET(_xlpm.val,_xlfn.XLOOKUP(C82,customers!$A$1:$A$1001,customers!$C$1:$C$1001,,0),IF(_xlpm.val=0,"",_xlpm.val))</f>
        <v>aarnow28@arizona.edu</v>
      </c>
      <c r="H82" s="2" t="str">
        <f>_xlfn.LET(_xlpm.val,_xlfn.XLOOKUP(C82,customers!$A$1:$A$1001,customers!$G$1:$G$1001,,0),IF(_xlpm.val=0,"",_xlpm.val))</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cm="1">
        <f t="array" ref="N82">_xlfn.SWITCH(I82,"rob","Robusta","exc","Excelsa","Ara","Arabica","Lib","Liberica","")</f>
        <v>Arabica</v>
      </c>
      <c r="O82" t="str" cm="1">
        <f t="array" ref="O82">_xlfn.SWITCH(J82,"M","Medium","D","Dark","L","Light")</f>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_xlfn.LET(_xlpm.val,_xlfn.XLOOKUP(C83,customers!$A$1:$A$1001,customers!$C$1:$C$1001,,0),IF(_xlpm.val=0,"",_xlpm.val))</f>
        <v>syann29@senate.gov</v>
      </c>
      <c r="H83" s="2" t="str">
        <f>_xlfn.LET(_xlpm.val,_xlfn.XLOOKUP(C83,customers!$A$1:$A$1001,customers!$G$1:$G$1001,,0),IF(_xlpm.val=0,"",_xlpm.val))</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cm="1">
        <f t="array" ref="N83">_xlfn.SWITCH(I83,"rob","Robusta","exc","Excelsa","Ara","Arabica","Lib","Liberica","")</f>
        <v>Liberica</v>
      </c>
      <c r="O83" t="str" cm="1">
        <f t="array" ref="O83">_xlfn.SWITCH(J83,"M","Medium","D","Dark","L","Light")</f>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_xlfn.LET(_xlpm.val,_xlfn.XLOOKUP(C84,customers!$A$1:$A$1001,customers!$C$1:$C$1001,,0),IF(_xlpm.val=0,"",_xlpm.val))</f>
        <v>bnaulls2a@tiny.cc</v>
      </c>
      <c r="H84" s="2" t="str">
        <f>_xlfn.LET(_xlpm.val,_xlfn.XLOOKUP(C84,customers!$A$1:$A$1001,customers!$G$1:$G$1001,,0),IF(_xlpm.val=0,"",_xlpm.val))</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cm="1">
        <f t="array" ref="N84">_xlfn.SWITCH(I84,"rob","Robusta","exc","Excelsa","Ara","Arabica","Lib","Liberica","")</f>
        <v>Liberica</v>
      </c>
      <c r="O84" t="str" cm="1">
        <f t="array" ref="O84">_xlfn.SWITCH(J84,"M","Medium","D","Dark","L","Light")</f>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_xlfn.LET(_xlpm.val,_xlfn.XLOOKUP(C85,customers!$A$1:$A$1001,customers!$C$1:$C$1001,,0),IF(_xlpm.val=0,"",_xlpm.val))</f>
        <v/>
      </c>
      <c r="H85" s="2" t="str">
        <f>_xlfn.LET(_xlpm.val,_xlfn.XLOOKUP(C85,customers!$A$1:$A$1001,customers!$G$1:$G$1001,,0),IF(_xlpm.val=0,"",_xlpm.val))</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cm="1">
        <f t="array" ref="N85">_xlfn.SWITCH(I85,"rob","Robusta","exc","Excelsa","Ara","Arabica","Lib","Liberica","")</f>
        <v>Robusta</v>
      </c>
      <c r="O85" t="str" cm="1">
        <f t="array" ref="O85">_xlfn.SWITCH(J85,"M","Medium","D","Dark","L","Light")</f>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_xlfn.LET(_xlpm.val,_xlfn.XLOOKUP(C86,customers!$A$1:$A$1001,customers!$C$1:$C$1001,,0),IF(_xlpm.val=0,"",_xlpm.val))</f>
        <v>zsherewood2c@apache.org</v>
      </c>
      <c r="H86" s="2" t="str">
        <f>_xlfn.LET(_xlpm.val,_xlfn.XLOOKUP(C86,customers!$A$1:$A$1001,customers!$G$1:$G$1001,,0),IF(_xlpm.val=0,"",_xlpm.val))</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cm="1">
        <f t="array" ref="N86">_xlfn.SWITCH(I86,"rob","Robusta","exc","Excelsa","Ara","Arabica","Lib","Liberica","")</f>
        <v>Liberica</v>
      </c>
      <c r="O86" t="str" cm="1">
        <f t="array" ref="O86">_xlfn.SWITCH(J86,"M","Medium","D","Dark","L","Light")</f>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_xlfn.LET(_xlpm.val,_xlfn.XLOOKUP(C87,customers!$A$1:$A$1001,customers!$C$1:$C$1001,,0),IF(_xlpm.val=0,"",_xlpm.val))</f>
        <v>jdufaire2d@fc2.com</v>
      </c>
      <c r="H87" s="2" t="str">
        <f>_xlfn.LET(_xlpm.val,_xlfn.XLOOKUP(C87,customers!$A$1:$A$1001,customers!$G$1:$G$1001,,0),IF(_xlpm.val=0,"",_xlpm.val))</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cm="1">
        <f t="array" ref="N87">_xlfn.SWITCH(I87,"rob","Robusta","exc","Excelsa","Ara","Arabica","Lib","Liberica","")</f>
        <v>Arabica</v>
      </c>
      <c r="O87" t="str" cm="1">
        <f t="array" ref="O87">_xlfn.SWITCH(J87,"M","Medium","D","Dark","L","Light")</f>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_xlfn.LET(_xlpm.val,_xlfn.XLOOKUP(C88,customers!$A$1:$A$1001,customers!$C$1:$C$1001,,0),IF(_xlpm.val=0,"",_xlpm.val))</f>
        <v>jdufaire2d@fc2.com</v>
      </c>
      <c r="H88" s="2" t="str">
        <f>_xlfn.LET(_xlpm.val,_xlfn.XLOOKUP(C88,customers!$A$1:$A$1001,customers!$G$1:$G$1001,,0),IF(_xlpm.val=0,"",_xlpm.val))</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cm="1">
        <f t="array" ref="N88">_xlfn.SWITCH(I88,"rob","Robusta","exc","Excelsa","Ara","Arabica","Lib","Liberica","")</f>
        <v>Arabica</v>
      </c>
      <c r="O88" t="str" cm="1">
        <f t="array" ref="O88">_xlfn.SWITCH(J88,"M","Medium","D","Dark","L","Light")</f>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_xlfn.LET(_xlpm.val,_xlfn.XLOOKUP(C89,customers!$A$1:$A$1001,customers!$C$1:$C$1001,,0),IF(_xlpm.val=0,"",_xlpm.val))</f>
        <v>bkeaveney2f@netlog.com</v>
      </c>
      <c r="H89" s="2" t="str">
        <f>_xlfn.LET(_xlpm.val,_xlfn.XLOOKUP(C89,customers!$A$1:$A$1001,customers!$G$1:$G$1001,,0),IF(_xlpm.val=0,"",_xlpm.val))</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cm="1">
        <f t="array" ref="N89">_xlfn.SWITCH(I89,"rob","Robusta","exc","Excelsa","Ara","Arabica","Lib","Liberica","")</f>
        <v>Arabica</v>
      </c>
      <c r="O89" t="str" cm="1">
        <f t="array" ref="O89">_xlfn.SWITCH(J89,"M","Medium","D","Dark","L","Light")</f>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_xlfn.LET(_xlpm.val,_xlfn.XLOOKUP(C90,customers!$A$1:$A$1001,customers!$C$1:$C$1001,,0),IF(_xlpm.val=0,"",_xlpm.val))</f>
        <v>egrise2g@cargocollective.com</v>
      </c>
      <c r="H90" s="2" t="str">
        <f>_xlfn.LET(_xlpm.val,_xlfn.XLOOKUP(C90,customers!$A$1:$A$1001,customers!$G$1:$G$1001,,0),IF(_xlpm.val=0,"",_xlpm.val))</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cm="1">
        <f t="array" ref="N90">_xlfn.SWITCH(I90,"rob","Robusta","exc","Excelsa","Ara","Arabica","Lib","Liberica","")</f>
        <v>Robusta</v>
      </c>
      <c r="O90" t="str" cm="1">
        <f t="array" ref="O90">_xlfn.SWITCH(J90,"M","Medium","D","Dark","L","Light")</f>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_xlfn.LET(_xlpm.val,_xlfn.XLOOKUP(C91,customers!$A$1:$A$1001,customers!$C$1:$C$1001,,0),IF(_xlpm.val=0,"",_xlpm.val))</f>
        <v>tgottelier2h@vistaprint.com</v>
      </c>
      <c r="H91" s="2" t="str">
        <f>_xlfn.LET(_xlpm.val,_xlfn.XLOOKUP(C91,customers!$A$1:$A$1001,customers!$G$1:$G$1001,,0),IF(_xlpm.val=0,"",_xlpm.val))</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cm="1">
        <f t="array" ref="N91">_xlfn.SWITCH(I91,"rob","Robusta","exc","Excelsa","Ara","Arabica","Lib","Liberica","")</f>
        <v>Arabica</v>
      </c>
      <c r="O91" t="str" cm="1">
        <f t="array" ref="O91">_xlfn.SWITCH(J91,"M","Medium","D","Dark","L","Light")</f>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_xlfn.LET(_xlpm.val,_xlfn.XLOOKUP(C92,customers!$A$1:$A$1001,customers!$C$1:$C$1001,,0),IF(_xlpm.val=0,"",_xlpm.val))</f>
        <v/>
      </c>
      <c r="H92" s="2" t="str">
        <f>_xlfn.LET(_xlpm.val,_xlfn.XLOOKUP(C92,customers!$A$1:$A$1001,customers!$G$1:$G$1001,,0),IF(_xlpm.val=0,"",_xlpm.val))</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cm="1">
        <f t="array" ref="N92">_xlfn.SWITCH(I92,"rob","Robusta","exc","Excelsa","Ara","Arabica","Lib","Liberica","")</f>
        <v>Arabica</v>
      </c>
      <c r="O92" t="str" cm="1">
        <f t="array" ref="O92">_xlfn.SWITCH(J92,"M","Medium","D","Dark","L","Light")</f>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_xlfn.LET(_xlpm.val,_xlfn.XLOOKUP(C93,customers!$A$1:$A$1001,customers!$C$1:$C$1001,,0),IF(_xlpm.val=0,"",_xlpm.val))</f>
        <v>agreenhead2j@dailymail.co.uk</v>
      </c>
      <c r="H93" s="2" t="str">
        <f>_xlfn.LET(_xlpm.val,_xlfn.XLOOKUP(C93,customers!$A$1:$A$1001,customers!$G$1:$G$1001,,0),IF(_xlpm.val=0,"",_xlpm.val))</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cm="1">
        <f t="array" ref="N93">_xlfn.SWITCH(I93,"rob","Robusta","exc","Excelsa","Ara","Arabica","Lib","Liberica","")</f>
        <v>Arabica</v>
      </c>
      <c r="O93" t="str" cm="1">
        <f t="array" ref="O93">_xlfn.SWITCH(J93,"M","Medium","D","Dark","L","Light")</f>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_xlfn.LET(_xlpm.val,_xlfn.XLOOKUP(C94,customers!$A$1:$A$1001,customers!$C$1:$C$1001,,0),IF(_xlpm.val=0,"",_xlpm.val))</f>
        <v/>
      </c>
      <c r="H94" s="2" t="str">
        <f>_xlfn.LET(_xlpm.val,_xlfn.XLOOKUP(C94,customers!$A$1:$A$1001,customers!$G$1:$G$1001,,0),IF(_xlpm.val=0,"",_xlpm.val))</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cm="1">
        <f t="array" ref="N94">_xlfn.SWITCH(I94,"rob","Robusta","exc","Excelsa","Ara","Arabica","Lib","Liberica","")</f>
        <v>Excelsa</v>
      </c>
      <c r="O94" t="str" cm="1">
        <f t="array" ref="O94">_xlfn.SWITCH(J94,"M","Medium","D","Dark","L","Light")</f>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_xlfn.LET(_xlpm.val,_xlfn.XLOOKUP(C95,customers!$A$1:$A$1001,customers!$C$1:$C$1001,,0),IF(_xlpm.val=0,"",_xlpm.val))</f>
        <v>elangcaster2l@spotify.com</v>
      </c>
      <c r="H95" s="2" t="str">
        <f>_xlfn.LET(_xlpm.val,_xlfn.XLOOKUP(C95,customers!$A$1:$A$1001,customers!$G$1:$G$1001,,0),IF(_xlpm.val=0,"",_xlpm.val))</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cm="1">
        <f t="array" ref="N95">_xlfn.SWITCH(I95,"rob","Robusta","exc","Excelsa","Ara","Arabica","Lib","Liberica","")</f>
        <v>Excelsa</v>
      </c>
      <c r="O95" t="str" cm="1">
        <f t="array" ref="O95">_xlfn.SWITCH(J95,"M","Medium","D","Dark","L","Light")</f>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_xlfn.LET(_xlpm.val,_xlfn.XLOOKUP(C96,customers!$A$1:$A$1001,customers!$C$1:$C$1001,,0),IF(_xlpm.val=0,"",_xlpm.val))</f>
        <v/>
      </c>
      <c r="H96" s="2" t="str">
        <f>_xlfn.LET(_xlpm.val,_xlfn.XLOOKUP(C96,customers!$A$1:$A$1001,customers!$G$1:$G$1001,,0),IF(_xlpm.val=0,"",_xlpm.val))</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cm="1">
        <f t="array" ref="N96">_xlfn.SWITCH(I96,"rob","Robusta","exc","Excelsa","Ara","Arabica","Lib","Liberica","")</f>
        <v>Arabica</v>
      </c>
      <c r="O96" t="str" cm="1">
        <f t="array" ref="O96">_xlfn.SWITCH(J96,"M","Medium","D","Dark","L","Light")</f>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_xlfn.LET(_xlpm.val,_xlfn.XLOOKUP(C97,customers!$A$1:$A$1001,customers!$C$1:$C$1001,,0),IF(_xlpm.val=0,"",_xlpm.val))</f>
        <v>nmagauran2n@51.la</v>
      </c>
      <c r="H97" s="2" t="str">
        <f>_xlfn.LET(_xlpm.val,_xlfn.XLOOKUP(C97,customers!$A$1:$A$1001,customers!$G$1:$G$1001,,0),IF(_xlpm.val=0,"",_xlpm.val))</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cm="1">
        <f t="array" ref="N97">_xlfn.SWITCH(I97,"rob","Robusta","exc","Excelsa","Ara","Arabica","Lib","Liberica","")</f>
        <v>Arabica</v>
      </c>
      <c r="O97" t="str" cm="1">
        <f t="array" ref="O97">_xlfn.SWITCH(J97,"M","Medium","D","Dark","L","Light")</f>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_xlfn.LET(_xlpm.val,_xlfn.XLOOKUP(C98,customers!$A$1:$A$1001,customers!$C$1:$C$1001,,0),IF(_xlpm.val=0,"",_xlpm.val))</f>
        <v>vkirdsch2o@google.fr</v>
      </c>
      <c r="H98" s="2" t="str">
        <f>_xlfn.LET(_xlpm.val,_xlfn.XLOOKUP(C98,customers!$A$1:$A$1001,customers!$G$1:$G$1001,,0),IF(_xlpm.val=0,"",_xlpm.val))</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cm="1">
        <f t="array" ref="N98">_xlfn.SWITCH(I98,"rob","Robusta","exc","Excelsa","Ara","Arabica","Lib","Liberica","")</f>
        <v>Arabica</v>
      </c>
      <c r="O98" t="str" cm="1">
        <f t="array" ref="O98">_xlfn.SWITCH(J98,"M","Medium","D","Dark","L","Light")</f>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_xlfn.LET(_xlpm.val,_xlfn.XLOOKUP(C99,customers!$A$1:$A$1001,customers!$C$1:$C$1001,,0),IF(_xlpm.val=0,"",_xlpm.val))</f>
        <v>iwhapple2p@com.com</v>
      </c>
      <c r="H99" s="2" t="str">
        <f>_xlfn.LET(_xlpm.val,_xlfn.XLOOKUP(C99,customers!$A$1:$A$1001,customers!$G$1:$G$1001,,0),IF(_xlpm.val=0,"",_xlpm.val))</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cm="1">
        <f t="array" ref="N99">_xlfn.SWITCH(I99,"rob","Robusta","exc","Excelsa","Ara","Arabica","Lib","Liberica","")</f>
        <v>Arabica</v>
      </c>
      <c r="O99" t="str" cm="1">
        <f t="array" ref="O99">_xlfn.SWITCH(J99,"M","Medium","D","Dark","L","Light")</f>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_xlfn.LET(_xlpm.val,_xlfn.XLOOKUP(C100,customers!$A$1:$A$1001,customers!$C$1:$C$1001,,0),IF(_xlpm.val=0,"",_xlpm.val))</f>
        <v/>
      </c>
      <c r="H100" s="2" t="str">
        <f>_xlfn.LET(_xlpm.val,_xlfn.XLOOKUP(C100,customers!$A$1:$A$1001,customers!$G$1:$G$1001,,0),IF(_xlpm.val=0,"",_xlpm.val))</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cm="1">
        <f t="array" ref="N100">_xlfn.SWITCH(I100,"rob","Robusta","exc","Excelsa","Ara","Arabica","Lib","Liberica","")</f>
        <v>Arabica</v>
      </c>
      <c r="O100" t="str" cm="1">
        <f t="array" ref="O100">_xlfn.SWITCH(J100,"M","Medium","D","Dark","L","Light")</f>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_xlfn.LET(_xlpm.val,_xlfn.XLOOKUP(C101,customers!$A$1:$A$1001,customers!$C$1:$C$1001,,0),IF(_xlpm.val=0,"",_xlpm.val))</f>
        <v/>
      </c>
      <c r="H101" s="2" t="str">
        <f>_xlfn.LET(_xlpm.val,_xlfn.XLOOKUP(C101,customers!$A$1:$A$1001,customers!$G$1:$G$1001,,0),IF(_xlpm.val=0,"",_xlpm.val))</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cm="1">
        <f t="array" ref="N101">_xlfn.SWITCH(I101,"rob","Robusta","exc","Excelsa","Ara","Arabica","Lib","Liberica","")</f>
        <v>Liberica</v>
      </c>
      <c r="O101" t="str" cm="1">
        <f t="array" ref="O101">_xlfn.SWITCH(J101,"M","Medium","D","Dark","L","Light")</f>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_xlfn.LET(_xlpm.val,_xlfn.XLOOKUP(C102,customers!$A$1:$A$1001,customers!$C$1:$C$1001,,0),IF(_xlpm.val=0,"",_xlpm.val))</f>
        <v/>
      </c>
      <c r="H102" s="2" t="str">
        <f>_xlfn.LET(_xlpm.val,_xlfn.XLOOKUP(C102,customers!$A$1:$A$1001,customers!$G$1:$G$1001,,0),IF(_xlpm.val=0,"",_xlpm.val))</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cm="1">
        <f t="array" ref="N102">_xlfn.SWITCH(I102,"rob","Robusta","exc","Excelsa","Ara","Arabica","Lib","Liberica","")</f>
        <v>Arabica</v>
      </c>
      <c r="O102" t="str" cm="1">
        <f t="array" ref="O102">_xlfn.SWITCH(J102,"M","Medium","D","Dark","L","Light")</f>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_xlfn.LET(_xlpm.val,_xlfn.XLOOKUP(C103,customers!$A$1:$A$1001,customers!$C$1:$C$1001,,0),IF(_xlpm.val=0,"",_xlpm.val))</f>
        <v>nyoules2t@reference.com</v>
      </c>
      <c r="H103" s="2" t="str">
        <f>_xlfn.LET(_xlpm.val,_xlfn.XLOOKUP(C103,customers!$A$1:$A$1001,customers!$G$1:$G$1001,,0),IF(_xlpm.val=0,"",_xlpm.val))</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cm="1">
        <f t="array" ref="N103">_xlfn.SWITCH(I103,"rob","Robusta","exc","Excelsa","Ara","Arabica","Lib","Liberica","")</f>
        <v>Liberica</v>
      </c>
      <c r="O103" t="str" cm="1">
        <f t="array" ref="O103">_xlfn.SWITCH(J103,"M","Medium","D","Dark","L","Light")</f>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_xlfn.LET(_xlpm.val,_xlfn.XLOOKUP(C104,customers!$A$1:$A$1001,customers!$C$1:$C$1001,,0),IF(_xlpm.val=0,"",_xlpm.val))</f>
        <v>daizikovitz2u@answers.com</v>
      </c>
      <c r="H104" s="2" t="str">
        <f>_xlfn.LET(_xlpm.val,_xlfn.XLOOKUP(C104,customers!$A$1:$A$1001,customers!$G$1:$G$1001,,0),IF(_xlpm.val=0,"",_xlpm.val))</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cm="1">
        <f t="array" ref="N104">_xlfn.SWITCH(I104,"rob","Robusta","exc","Excelsa","Ara","Arabica","Lib","Liberica","")</f>
        <v>Liberica</v>
      </c>
      <c r="O104" t="str" cm="1">
        <f t="array" ref="O104">_xlfn.SWITCH(J104,"M","Medium","D","Dark","L","Light")</f>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_xlfn.LET(_xlpm.val,_xlfn.XLOOKUP(C105,customers!$A$1:$A$1001,customers!$C$1:$C$1001,,0),IF(_xlpm.val=0,"",_xlpm.val))</f>
        <v>brevel2v@fastcompany.com</v>
      </c>
      <c r="H105" s="2" t="str">
        <f>_xlfn.LET(_xlpm.val,_xlfn.XLOOKUP(C105,customers!$A$1:$A$1001,customers!$G$1:$G$1001,,0),IF(_xlpm.val=0,"",_xlpm.val))</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cm="1">
        <f t="array" ref="N105">_xlfn.SWITCH(I105,"rob","Robusta","exc","Excelsa","Ara","Arabica","Lib","Liberica","")</f>
        <v>Robusta</v>
      </c>
      <c r="O105" t="str" cm="1">
        <f t="array" ref="O105">_xlfn.SWITCH(J105,"M","Medium","D","Dark","L","Light")</f>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_xlfn.LET(_xlpm.val,_xlfn.XLOOKUP(C106,customers!$A$1:$A$1001,customers!$C$1:$C$1001,,0),IF(_xlpm.val=0,"",_xlpm.val))</f>
        <v>epriddis2w@nationalgeographic.com</v>
      </c>
      <c r="H106" s="2" t="str">
        <f>_xlfn.LET(_xlpm.val,_xlfn.XLOOKUP(C106,customers!$A$1:$A$1001,customers!$G$1:$G$1001,,0),IF(_xlpm.val=0,"",_xlpm.val))</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cm="1">
        <f t="array" ref="N106">_xlfn.SWITCH(I106,"rob","Robusta","exc","Excelsa","Ara","Arabica","Lib","Liberica","")</f>
        <v>Liberica</v>
      </c>
      <c r="O106" t="str" cm="1">
        <f t="array" ref="O106">_xlfn.SWITCH(J106,"M","Medium","D","Dark","L","Light")</f>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_xlfn.LET(_xlpm.val,_xlfn.XLOOKUP(C107,customers!$A$1:$A$1001,customers!$C$1:$C$1001,,0),IF(_xlpm.val=0,"",_xlpm.val))</f>
        <v>qveel2x@jugem.jp</v>
      </c>
      <c r="H107" s="2" t="str">
        <f>_xlfn.LET(_xlpm.val,_xlfn.XLOOKUP(C107,customers!$A$1:$A$1001,customers!$G$1:$G$1001,,0),IF(_xlpm.val=0,"",_xlpm.val))</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cm="1">
        <f t="array" ref="N107">_xlfn.SWITCH(I107,"rob","Robusta","exc","Excelsa","Ara","Arabica","Lib","Liberica","")</f>
        <v>Arabica</v>
      </c>
      <c r="O107" t="str" cm="1">
        <f t="array" ref="O107">_xlfn.SWITCH(J107,"M","Medium","D","Dark","L","Light")</f>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_xlfn.LET(_xlpm.val,_xlfn.XLOOKUP(C108,customers!$A$1:$A$1001,customers!$C$1:$C$1001,,0),IF(_xlpm.val=0,"",_xlpm.val))</f>
        <v>lconyers2y@twitter.com</v>
      </c>
      <c r="H108" s="2" t="str">
        <f>_xlfn.LET(_xlpm.val,_xlfn.XLOOKUP(C108,customers!$A$1:$A$1001,customers!$G$1:$G$1001,,0),IF(_xlpm.val=0,"",_xlpm.val))</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cm="1">
        <f t="array" ref="N108">_xlfn.SWITCH(I108,"rob","Robusta","exc","Excelsa","Ara","Arabica","Lib","Liberica","")</f>
        <v>Excelsa</v>
      </c>
      <c r="O108" t="str" cm="1">
        <f t="array" ref="O108">_xlfn.SWITCH(J108,"M","Medium","D","Dark","L","Light")</f>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_xlfn.LET(_xlpm.val,_xlfn.XLOOKUP(C109,customers!$A$1:$A$1001,customers!$C$1:$C$1001,,0),IF(_xlpm.val=0,"",_xlpm.val))</f>
        <v>pwye2z@dagondesign.com</v>
      </c>
      <c r="H109" s="2" t="str">
        <f>_xlfn.LET(_xlpm.val,_xlfn.XLOOKUP(C109,customers!$A$1:$A$1001,customers!$G$1:$G$1001,,0),IF(_xlpm.val=0,"",_xlpm.val))</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cm="1">
        <f t="array" ref="N109">_xlfn.SWITCH(I109,"rob","Robusta","exc","Excelsa","Ara","Arabica","Lib","Liberica","")</f>
        <v>Robusta</v>
      </c>
      <c r="O109" t="str" cm="1">
        <f t="array" ref="O109">_xlfn.SWITCH(J109,"M","Medium","D","Dark","L","Light")</f>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_xlfn.LET(_xlpm.val,_xlfn.XLOOKUP(C110,customers!$A$1:$A$1001,customers!$C$1:$C$1001,,0),IF(_xlpm.val=0,"",_xlpm.val))</f>
        <v/>
      </c>
      <c r="H110" s="2" t="str">
        <f>_xlfn.LET(_xlpm.val,_xlfn.XLOOKUP(C110,customers!$A$1:$A$1001,customers!$G$1:$G$1001,,0),IF(_xlpm.val=0,"",_xlpm.val))</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cm="1">
        <f t="array" ref="N110">_xlfn.SWITCH(I110,"rob","Robusta","exc","Excelsa","Ara","Arabica","Lib","Liberica","")</f>
        <v>Arabica</v>
      </c>
      <c r="O110" t="str" cm="1">
        <f t="array" ref="O110">_xlfn.SWITCH(J110,"M","Medium","D","Dark","L","Light")</f>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_xlfn.LET(_xlpm.val,_xlfn.XLOOKUP(C111,customers!$A$1:$A$1001,customers!$C$1:$C$1001,,0),IF(_xlpm.val=0,"",_xlpm.val))</f>
        <v>tsheryn31@mtv.com</v>
      </c>
      <c r="H111" s="2" t="str">
        <f>_xlfn.LET(_xlpm.val,_xlfn.XLOOKUP(C111,customers!$A$1:$A$1001,customers!$G$1:$G$1001,,0),IF(_xlpm.val=0,"",_xlpm.val))</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cm="1">
        <f t="array" ref="N111">_xlfn.SWITCH(I111,"rob","Robusta","exc","Excelsa","Ara","Arabica","Lib","Liberica","")</f>
        <v>Liberica</v>
      </c>
      <c r="O111" t="str" cm="1">
        <f t="array" ref="O111">_xlfn.SWITCH(J111,"M","Medium","D","Dark","L","Light")</f>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_xlfn.LET(_xlpm.val,_xlfn.XLOOKUP(C112,customers!$A$1:$A$1001,customers!$C$1:$C$1001,,0),IF(_xlpm.val=0,"",_xlpm.val))</f>
        <v>mredgrave32@cargocollective.com</v>
      </c>
      <c r="H112" s="2" t="str">
        <f>_xlfn.LET(_xlpm.val,_xlfn.XLOOKUP(C112,customers!$A$1:$A$1001,customers!$G$1:$G$1001,,0),IF(_xlpm.val=0,"",_xlpm.val))</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cm="1">
        <f t="array" ref="N112">_xlfn.SWITCH(I112,"rob","Robusta","exc","Excelsa","Ara","Arabica","Lib","Liberica","")</f>
        <v>Excelsa</v>
      </c>
      <c r="O112" t="str" cm="1">
        <f t="array" ref="O112">_xlfn.SWITCH(J112,"M","Medium","D","Dark","L","Light")</f>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_xlfn.LET(_xlpm.val,_xlfn.XLOOKUP(C113,customers!$A$1:$A$1001,customers!$C$1:$C$1001,,0),IF(_xlpm.val=0,"",_xlpm.val))</f>
        <v>bfominov33@yale.edu</v>
      </c>
      <c r="H113" s="2" t="str">
        <f>_xlfn.LET(_xlpm.val,_xlfn.XLOOKUP(C113,customers!$A$1:$A$1001,customers!$G$1:$G$1001,,0),IF(_xlpm.val=0,"",_xlpm.val))</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cm="1">
        <f t="array" ref="N113">_xlfn.SWITCH(I113,"rob","Robusta","exc","Excelsa","Ara","Arabica","Lib","Liberica","")</f>
        <v>Robusta</v>
      </c>
      <c r="O113" t="str" cm="1">
        <f t="array" ref="O113">_xlfn.SWITCH(J113,"M","Medium","D","Dark","L","Light")</f>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_xlfn.LET(_xlpm.val,_xlfn.XLOOKUP(C114,customers!$A$1:$A$1001,customers!$C$1:$C$1001,,0),IF(_xlpm.val=0,"",_xlpm.val))</f>
        <v>scritchlow34@un.org</v>
      </c>
      <c r="H114" s="2" t="str">
        <f>_xlfn.LET(_xlpm.val,_xlfn.XLOOKUP(C114,customers!$A$1:$A$1001,customers!$G$1:$G$1001,,0),IF(_xlpm.val=0,"",_xlpm.val))</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cm="1">
        <f t="array" ref="N114">_xlfn.SWITCH(I114,"rob","Robusta","exc","Excelsa","Ara","Arabica","Lib","Liberica","")</f>
        <v>Arabica</v>
      </c>
      <c r="O114" t="str" cm="1">
        <f t="array" ref="O114">_xlfn.SWITCH(J114,"M","Medium","D","Dark","L","Light")</f>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_xlfn.LET(_xlpm.val,_xlfn.XLOOKUP(C115,customers!$A$1:$A$1001,customers!$C$1:$C$1001,,0),IF(_xlpm.val=0,"",_xlpm.val))</f>
        <v>msteptow35@earthlink.net</v>
      </c>
      <c r="H115" s="2" t="str">
        <f>_xlfn.LET(_xlpm.val,_xlfn.XLOOKUP(C115,customers!$A$1:$A$1001,customers!$G$1:$G$1001,,0),IF(_xlpm.val=0,"",_xlpm.val))</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cm="1">
        <f t="array" ref="N115">_xlfn.SWITCH(I115,"rob","Robusta","exc","Excelsa","Ara","Arabica","Lib","Liberica","")</f>
        <v>Liberica</v>
      </c>
      <c r="O115" t="str" cm="1">
        <f t="array" ref="O115">_xlfn.SWITCH(J115,"M","Medium","D","Dark","L","Light")</f>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_xlfn.LET(_xlpm.val,_xlfn.XLOOKUP(C116,customers!$A$1:$A$1001,customers!$C$1:$C$1001,,0),IF(_xlpm.val=0,"",_xlpm.val))</f>
        <v/>
      </c>
      <c r="H116" s="2" t="str">
        <f>_xlfn.LET(_xlpm.val,_xlfn.XLOOKUP(C116,customers!$A$1:$A$1001,customers!$G$1:$G$1001,,0),IF(_xlpm.val=0,"",_xlpm.val))</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cm="1">
        <f t="array" ref="N116">_xlfn.SWITCH(I116,"rob","Robusta","exc","Excelsa","Ara","Arabica","Lib","Liberica","")</f>
        <v>Robusta</v>
      </c>
      <c r="O116" t="str" cm="1">
        <f t="array" ref="O116">_xlfn.SWITCH(J116,"M","Medium","D","Dark","L","Light")</f>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_xlfn.LET(_xlpm.val,_xlfn.XLOOKUP(C117,customers!$A$1:$A$1001,customers!$C$1:$C$1001,,0),IF(_xlpm.val=0,"",_xlpm.val))</f>
        <v>imulliner37@pinterest.com</v>
      </c>
      <c r="H117" s="2" t="str">
        <f>_xlfn.LET(_xlpm.val,_xlfn.XLOOKUP(C117,customers!$A$1:$A$1001,customers!$G$1:$G$1001,,0),IF(_xlpm.val=0,"",_xlpm.val))</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cm="1">
        <f t="array" ref="N117">_xlfn.SWITCH(I117,"rob","Robusta","exc","Excelsa","Ara","Arabica","Lib","Liberica","")</f>
        <v>Liberica</v>
      </c>
      <c r="O117" t="str" cm="1">
        <f t="array" ref="O117">_xlfn.SWITCH(J117,"M","Medium","D","Dark","L","Light")</f>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_xlfn.LET(_xlpm.val,_xlfn.XLOOKUP(C118,customers!$A$1:$A$1001,customers!$C$1:$C$1001,,0),IF(_xlpm.val=0,"",_xlpm.val))</f>
        <v>gstandley38@dion.ne.jp</v>
      </c>
      <c r="H118" s="2" t="str">
        <f>_xlfn.LET(_xlpm.val,_xlfn.XLOOKUP(C118,customers!$A$1:$A$1001,customers!$G$1:$G$1001,,0),IF(_xlpm.val=0,"",_xlpm.val))</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cm="1">
        <f t="array" ref="N118">_xlfn.SWITCH(I118,"rob","Robusta","exc","Excelsa","Ara","Arabica","Lib","Liberica","")</f>
        <v>Liberica</v>
      </c>
      <c r="O118" t="str" cm="1">
        <f t="array" ref="O118">_xlfn.SWITCH(J118,"M","Medium","D","Dark","L","Light")</f>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_xlfn.LET(_xlpm.val,_xlfn.XLOOKUP(C119,customers!$A$1:$A$1001,customers!$C$1:$C$1001,,0),IF(_xlpm.val=0,"",_xlpm.val))</f>
        <v>bdrage39@youku.com</v>
      </c>
      <c r="H119" s="2" t="str">
        <f>_xlfn.LET(_xlpm.val,_xlfn.XLOOKUP(C119,customers!$A$1:$A$1001,customers!$G$1:$G$1001,,0),IF(_xlpm.val=0,"",_xlpm.val))</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cm="1">
        <f t="array" ref="N119">_xlfn.SWITCH(I119,"rob","Robusta","exc","Excelsa","Ara","Arabica","Lib","Liberica","")</f>
        <v>Liberica</v>
      </c>
      <c r="O119" t="str" cm="1">
        <f t="array" ref="O119">_xlfn.SWITCH(J119,"M","Medium","D","Dark","L","Light")</f>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_xlfn.LET(_xlpm.val,_xlfn.XLOOKUP(C120,customers!$A$1:$A$1001,customers!$C$1:$C$1001,,0),IF(_xlpm.val=0,"",_xlpm.val))</f>
        <v>myallop3a@fema.gov</v>
      </c>
      <c r="H120" s="2" t="str">
        <f>_xlfn.LET(_xlpm.val,_xlfn.XLOOKUP(C120,customers!$A$1:$A$1001,customers!$G$1:$G$1001,,0),IF(_xlpm.val=0,"",_xlpm.val))</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cm="1">
        <f t="array" ref="N120">_xlfn.SWITCH(I120,"rob","Robusta","exc","Excelsa","Ara","Arabica","Lib","Liberica","")</f>
        <v>Excelsa</v>
      </c>
      <c r="O120" t="str" cm="1">
        <f t="array" ref="O120">_xlfn.SWITCH(J120,"M","Medium","D","Dark","L","Light")</f>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_xlfn.LET(_xlpm.val,_xlfn.XLOOKUP(C121,customers!$A$1:$A$1001,customers!$C$1:$C$1001,,0),IF(_xlpm.val=0,"",_xlpm.val))</f>
        <v>cswitsur3b@chronoengine.com</v>
      </c>
      <c r="H121" s="2" t="str">
        <f>_xlfn.LET(_xlpm.val,_xlfn.XLOOKUP(C121,customers!$A$1:$A$1001,customers!$G$1:$G$1001,,0),IF(_xlpm.val=0,"",_xlpm.val))</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cm="1">
        <f t="array" ref="N121">_xlfn.SWITCH(I121,"rob","Robusta","exc","Excelsa","Ara","Arabica","Lib","Liberica","")</f>
        <v>Excelsa</v>
      </c>
      <c r="O121" t="str" cm="1">
        <f t="array" ref="O121">_xlfn.SWITCH(J121,"M","Medium","D","Dark","L","Light")</f>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_xlfn.LET(_xlpm.val,_xlfn.XLOOKUP(C122,customers!$A$1:$A$1001,customers!$C$1:$C$1001,,0),IF(_xlpm.val=0,"",_xlpm.val))</f>
        <v>cswitsur3b@chronoengine.com</v>
      </c>
      <c r="H122" s="2" t="str">
        <f>_xlfn.LET(_xlpm.val,_xlfn.XLOOKUP(C122,customers!$A$1:$A$1001,customers!$G$1:$G$1001,,0),IF(_xlpm.val=0,"",_xlpm.val))</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cm="1">
        <f t="array" ref="N122">_xlfn.SWITCH(I122,"rob","Robusta","exc","Excelsa","Ara","Arabica","Lib","Liberica","")</f>
        <v>Arabica</v>
      </c>
      <c r="O122" t="str" cm="1">
        <f t="array" ref="O122">_xlfn.SWITCH(J122,"M","Medium","D","Dark","L","Light")</f>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_xlfn.LET(_xlpm.val,_xlfn.XLOOKUP(C123,customers!$A$1:$A$1001,customers!$C$1:$C$1001,,0),IF(_xlpm.val=0,"",_xlpm.val))</f>
        <v>cswitsur3b@chronoengine.com</v>
      </c>
      <c r="H123" s="2" t="str">
        <f>_xlfn.LET(_xlpm.val,_xlfn.XLOOKUP(C123,customers!$A$1:$A$1001,customers!$G$1:$G$1001,,0),IF(_xlpm.val=0,"",_xlpm.val))</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cm="1">
        <f t="array" ref="N123">_xlfn.SWITCH(I123,"rob","Robusta","exc","Excelsa","Ara","Arabica","Lib","Liberica","")</f>
        <v>Excelsa</v>
      </c>
      <c r="O123" t="str" cm="1">
        <f t="array" ref="O123">_xlfn.SWITCH(J123,"M","Medium","D","Dark","L","Light")</f>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_xlfn.LET(_xlpm.val,_xlfn.XLOOKUP(C124,customers!$A$1:$A$1001,customers!$C$1:$C$1001,,0),IF(_xlpm.val=0,"",_xlpm.val))</f>
        <v>mludwell3e@blogger.com</v>
      </c>
      <c r="H124" s="2" t="str">
        <f>_xlfn.LET(_xlpm.val,_xlfn.XLOOKUP(C124,customers!$A$1:$A$1001,customers!$G$1:$G$1001,,0),IF(_xlpm.val=0,"",_xlpm.val))</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cm="1">
        <f t="array" ref="N124">_xlfn.SWITCH(I124,"rob","Robusta","exc","Excelsa","Ara","Arabica","Lib","Liberica","")</f>
        <v>Arabica</v>
      </c>
      <c r="O124" t="str" cm="1">
        <f t="array" ref="O124">_xlfn.SWITCH(J124,"M","Medium","D","Dark","L","Light")</f>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_xlfn.LET(_xlpm.val,_xlfn.XLOOKUP(C125,customers!$A$1:$A$1001,customers!$C$1:$C$1001,,0),IF(_xlpm.val=0,"",_xlpm.val))</f>
        <v>dbeauchamp3f@usda.gov</v>
      </c>
      <c r="H125" s="2" t="str">
        <f>_xlfn.LET(_xlpm.val,_xlfn.XLOOKUP(C125,customers!$A$1:$A$1001,customers!$G$1:$G$1001,,0),IF(_xlpm.val=0,"",_xlpm.val))</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cm="1">
        <f t="array" ref="N125">_xlfn.SWITCH(I125,"rob","Robusta","exc","Excelsa","Ara","Arabica","Lib","Liberica","")</f>
        <v>Liberica</v>
      </c>
      <c r="O125" t="str" cm="1">
        <f t="array" ref="O125">_xlfn.SWITCH(J125,"M","Medium","D","Dark","L","Light")</f>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_xlfn.LET(_xlpm.val,_xlfn.XLOOKUP(C126,customers!$A$1:$A$1001,customers!$C$1:$C$1001,,0),IF(_xlpm.val=0,"",_xlpm.val))</f>
        <v>srodliff3g@ted.com</v>
      </c>
      <c r="H126" s="2" t="str">
        <f>_xlfn.LET(_xlpm.val,_xlfn.XLOOKUP(C126,customers!$A$1:$A$1001,customers!$G$1:$G$1001,,0),IF(_xlpm.val=0,"",_xlpm.val))</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cm="1">
        <f t="array" ref="N126">_xlfn.SWITCH(I126,"rob","Robusta","exc","Excelsa","Ara","Arabica","Lib","Liberica","")</f>
        <v>Liberica</v>
      </c>
      <c r="O126" t="str" cm="1">
        <f t="array" ref="O126">_xlfn.SWITCH(J126,"M","Medium","D","Dark","L","Light")</f>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_xlfn.LET(_xlpm.val,_xlfn.XLOOKUP(C127,customers!$A$1:$A$1001,customers!$C$1:$C$1001,,0),IF(_xlpm.val=0,"",_xlpm.val))</f>
        <v>swoodham3h@businesswire.com</v>
      </c>
      <c r="H127" s="2" t="str">
        <f>_xlfn.LET(_xlpm.val,_xlfn.XLOOKUP(C127,customers!$A$1:$A$1001,customers!$G$1:$G$1001,,0),IF(_xlpm.val=0,"",_xlpm.val))</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cm="1">
        <f t="array" ref="N127">_xlfn.SWITCH(I127,"rob","Robusta","exc","Excelsa","Ara","Arabica","Lib","Liberica","")</f>
        <v>Liberica</v>
      </c>
      <c r="O127" t="str" cm="1">
        <f t="array" ref="O127">_xlfn.SWITCH(J127,"M","Medium","D","Dark","L","Light")</f>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_xlfn.LET(_xlpm.val,_xlfn.XLOOKUP(C128,customers!$A$1:$A$1001,customers!$C$1:$C$1001,,0),IF(_xlpm.val=0,"",_xlpm.val))</f>
        <v>hsynnot3i@about.com</v>
      </c>
      <c r="H128" s="2" t="str">
        <f>_xlfn.LET(_xlpm.val,_xlfn.XLOOKUP(C128,customers!$A$1:$A$1001,customers!$G$1:$G$1001,,0),IF(_xlpm.val=0,"",_xlpm.val))</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cm="1">
        <f t="array" ref="N128">_xlfn.SWITCH(I128,"rob","Robusta","exc","Excelsa","Ara","Arabica","Lib","Liberica","")</f>
        <v>Arabica</v>
      </c>
      <c r="O128" t="str" cm="1">
        <f t="array" ref="O128">_xlfn.SWITCH(J128,"M","Medium","D","Dark","L","Light")</f>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_xlfn.LET(_xlpm.val,_xlfn.XLOOKUP(C129,customers!$A$1:$A$1001,customers!$C$1:$C$1001,,0),IF(_xlpm.val=0,"",_xlpm.val))</f>
        <v>rlepere3j@shop-pro.jp</v>
      </c>
      <c r="H129" s="2" t="str">
        <f>_xlfn.LET(_xlpm.val,_xlfn.XLOOKUP(C129,customers!$A$1:$A$1001,customers!$G$1:$G$1001,,0),IF(_xlpm.val=0,"",_xlpm.val))</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cm="1">
        <f t="array" ref="N129">_xlfn.SWITCH(I129,"rob","Robusta","exc","Excelsa","Ara","Arabica","Lib","Liberica","")</f>
        <v>Liberica</v>
      </c>
      <c r="O129" t="str" cm="1">
        <f t="array" ref="O129">_xlfn.SWITCH(J129,"M","Medium","D","Dark","L","Light")</f>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_xlfn.LET(_xlpm.val,_xlfn.XLOOKUP(C130,customers!$A$1:$A$1001,customers!$C$1:$C$1001,,0),IF(_xlpm.val=0,"",_xlpm.val))</f>
        <v>twoofinden3k@businesswire.com</v>
      </c>
      <c r="H130" s="2" t="str">
        <f>_xlfn.LET(_xlpm.val,_xlfn.XLOOKUP(C130,customers!$A$1:$A$1001,customers!$G$1:$G$1001,,0),IF(_xlpm.val=0,"",_xlpm.val))</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cm="1">
        <f t="array" ref="N130">_xlfn.SWITCH(I130,"rob","Robusta","exc","Excelsa","Ara","Arabica","Lib","Liberica","")</f>
        <v>Arabica</v>
      </c>
      <c r="O130" t="str" cm="1">
        <f t="array" ref="O130">_xlfn.SWITCH(J130,"M","Medium","D","Dark","L","Light")</f>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_xlfn.LET(_xlpm.val,_xlfn.XLOOKUP(C131,customers!$A$1:$A$1001,customers!$C$1:$C$1001,,0),IF(_xlpm.val=0,"",_xlpm.val))</f>
        <v>edacca3l@google.pl</v>
      </c>
      <c r="H131" s="2" t="str">
        <f>_xlfn.LET(_xlpm.val,_xlfn.XLOOKUP(C131,customers!$A$1:$A$1001,customers!$G$1:$G$1001,,0),IF(_xlpm.val=0,"",_xlpm.val))</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L131*E131</f>
        <v>12.15</v>
      </c>
      <c r="N131" t="str" cm="1">
        <f t="array" ref="N131">_xlfn.SWITCH(I131,"rob","Robusta","exc","Excelsa","Ara","Arabica","Lib","Liberica","")</f>
        <v>Excelsa</v>
      </c>
      <c r="O131" t="str" cm="1">
        <f t="array" ref="O131">_xlfn.SWITCH(J131,"M","Medium","D","Dark","L","Light")</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_xlfn.LET(_xlpm.val,_xlfn.XLOOKUP(C132,customers!$A$1:$A$1001,customers!$C$1:$C$1001,,0),IF(_xlpm.val=0,"",_xlpm.val))</f>
        <v/>
      </c>
      <c r="H132" s="2" t="str">
        <f>_xlfn.LET(_xlpm.val,_xlfn.XLOOKUP(C132,customers!$A$1:$A$1001,customers!$G$1:$G$1001,,0),IF(_xlpm.val=0,"",_xlpm.val))</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cm="1">
        <f t="array" ref="N132">_xlfn.SWITCH(I132,"rob","Robusta","exc","Excelsa","Ara","Arabica","Lib","Liberica","")</f>
        <v>Arabica</v>
      </c>
      <c r="O132" t="str" cm="1">
        <f t="array" ref="O132">_xlfn.SWITCH(J132,"M","Medium","D","Dark","L","Light")</f>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_xlfn.LET(_xlpm.val,_xlfn.XLOOKUP(C133,customers!$A$1:$A$1001,customers!$C$1:$C$1001,,0),IF(_xlpm.val=0,"",_xlpm.val))</f>
        <v>bhindsberg3n@blogs.com</v>
      </c>
      <c r="H133" s="2" t="str">
        <f>_xlfn.LET(_xlpm.val,_xlfn.XLOOKUP(C133,customers!$A$1:$A$1001,customers!$G$1:$G$1001,,0),IF(_xlpm.val=0,"",_xlpm.val))</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cm="1">
        <f t="array" ref="N133">_xlfn.SWITCH(I133,"rob","Robusta","exc","Excelsa","Ara","Arabica","Lib","Liberica","")</f>
        <v>Excelsa</v>
      </c>
      <c r="O133" t="str" cm="1">
        <f t="array" ref="O133">_xlfn.SWITCH(J133,"M","Medium","D","Dark","L","Light")</f>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_xlfn.LET(_xlpm.val,_xlfn.XLOOKUP(C134,customers!$A$1:$A$1001,customers!$C$1:$C$1001,,0),IF(_xlpm.val=0,"",_xlpm.val))</f>
        <v>orobins3o@salon.com</v>
      </c>
      <c r="H134" s="2" t="str">
        <f>_xlfn.LET(_xlpm.val,_xlfn.XLOOKUP(C134,customers!$A$1:$A$1001,customers!$G$1:$G$1001,,0),IF(_xlpm.val=0,"",_xlpm.val))</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cm="1">
        <f t="array" ref="N134">_xlfn.SWITCH(I134,"rob","Robusta","exc","Excelsa","Ara","Arabica","Lib","Liberica","")</f>
        <v>Arabica</v>
      </c>
      <c r="O134" t="str" cm="1">
        <f t="array" ref="O134">_xlfn.SWITCH(J134,"M","Medium","D","Dark","L","Light")</f>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_xlfn.LET(_xlpm.val,_xlfn.XLOOKUP(C135,customers!$A$1:$A$1001,customers!$C$1:$C$1001,,0),IF(_xlpm.val=0,"",_xlpm.val))</f>
        <v>osyseland3p@independent.co.uk</v>
      </c>
      <c r="H135" s="2" t="str">
        <f>_xlfn.LET(_xlpm.val,_xlfn.XLOOKUP(C135,customers!$A$1:$A$1001,customers!$G$1:$G$1001,,0),IF(_xlpm.val=0,"",_xlpm.val))</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cm="1">
        <f t="array" ref="N135">_xlfn.SWITCH(I135,"rob","Robusta","exc","Excelsa","Ara","Arabica","Lib","Liberica","")</f>
        <v>Liberica</v>
      </c>
      <c r="O135" t="str" cm="1">
        <f t="array" ref="O135">_xlfn.SWITCH(J135,"M","Medium","D","Dark","L","Light")</f>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_xlfn.LET(_xlpm.val,_xlfn.XLOOKUP(C136,customers!$A$1:$A$1001,customers!$C$1:$C$1001,,0),IF(_xlpm.val=0,"",_xlpm.val))</f>
        <v/>
      </c>
      <c r="H136" s="2" t="str">
        <f>_xlfn.LET(_xlpm.val,_xlfn.XLOOKUP(C136,customers!$A$1:$A$1001,customers!$G$1:$G$1001,,0),IF(_xlpm.val=0,"",_xlpm.val))</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cm="1">
        <f t="array" ref="N136">_xlfn.SWITCH(I136,"rob","Robusta","exc","Excelsa","Ara","Arabica","Lib","Liberica","")</f>
        <v>Excelsa</v>
      </c>
      <c r="O136" t="str" cm="1">
        <f t="array" ref="O136">_xlfn.SWITCH(J136,"M","Medium","D","Dark","L","Light")</f>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_xlfn.LET(_xlpm.val,_xlfn.XLOOKUP(C137,customers!$A$1:$A$1001,customers!$C$1:$C$1001,,0),IF(_xlpm.val=0,"",_xlpm.val))</f>
        <v>bmcamish2e@tripadvisor.com</v>
      </c>
      <c r="H137" s="2" t="str">
        <f>_xlfn.LET(_xlpm.val,_xlfn.XLOOKUP(C137,customers!$A$1:$A$1001,customers!$G$1:$G$1001,,0),IF(_xlpm.val=0,"",_xlpm.val))</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cm="1">
        <f t="array" ref="N137">_xlfn.SWITCH(I137,"rob","Robusta","exc","Excelsa","Ara","Arabica","Lib","Liberica","")</f>
        <v>Arabica</v>
      </c>
      <c r="O137" t="str" cm="1">
        <f t="array" ref="O137">_xlfn.SWITCH(J137,"M","Medium","D","Dark","L","Light")</f>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_xlfn.LET(_xlpm.val,_xlfn.XLOOKUP(C138,customers!$A$1:$A$1001,customers!$C$1:$C$1001,,0),IF(_xlpm.val=0,"",_xlpm.val))</f>
        <v>lkeenleyside3s@topsy.com</v>
      </c>
      <c r="H138" s="2" t="str">
        <f>_xlfn.LET(_xlpm.val,_xlfn.XLOOKUP(C138,customers!$A$1:$A$1001,customers!$G$1:$G$1001,,0),IF(_xlpm.val=0,"",_xlpm.val))</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cm="1">
        <f t="array" ref="N138">_xlfn.SWITCH(I138,"rob","Robusta","exc","Excelsa","Ara","Arabica","Lib","Liberica","")</f>
        <v>Arabica</v>
      </c>
      <c r="O138" t="str" cm="1">
        <f t="array" ref="O138">_xlfn.SWITCH(J138,"M","Medium","D","Dark","L","Light")</f>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_xlfn.LET(_xlpm.val,_xlfn.XLOOKUP(C139,customers!$A$1:$A$1001,customers!$C$1:$C$1001,,0),IF(_xlpm.val=0,"",_xlpm.val))</f>
        <v/>
      </c>
      <c r="H139" s="2" t="str">
        <f>_xlfn.LET(_xlpm.val,_xlfn.XLOOKUP(C139,customers!$A$1:$A$1001,customers!$G$1:$G$1001,,0),IF(_xlpm.val=0,"",_xlpm.val))</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cm="1">
        <f t="array" ref="N139">_xlfn.SWITCH(I139,"rob","Robusta","exc","Excelsa","Ara","Arabica","Lib","Liberica","")</f>
        <v>Excelsa</v>
      </c>
      <c r="O139" t="str" cm="1">
        <f t="array" ref="O139">_xlfn.SWITCH(J139,"M","Medium","D","Dark","L","Light")</f>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_xlfn.LET(_xlpm.val,_xlfn.XLOOKUP(C140,customers!$A$1:$A$1001,customers!$C$1:$C$1001,,0),IF(_xlpm.val=0,"",_xlpm.val))</f>
        <v/>
      </c>
      <c r="H140" s="2" t="str">
        <f>_xlfn.LET(_xlpm.val,_xlfn.XLOOKUP(C140,customers!$A$1:$A$1001,customers!$G$1:$G$1001,,0),IF(_xlpm.val=0,"",_xlpm.val))</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cm="1">
        <f t="array" ref="N140">_xlfn.SWITCH(I140,"rob","Robusta","exc","Excelsa","Ara","Arabica","Lib","Liberica","")</f>
        <v>Excelsa</v>
      </c>
      <c r="O140" t="str" cm="1">
        <f t="array" ref="O140">_xlfn.SWITCH(J140,"M","Medium","D","Dark","L","Light")</f>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_xlfn.LET(_xlpm.val,_xlfn.XLOOKUP(C141,customers!$A$1:$A$1001,customers!$C$1:$C$1001,,0),IF(_xlpm.val=0,"",_xlpm.val))</f>
        <v/>
      </c>
      <c r="H141" s="2" t="str">
        <f>_xlfn.LET(_xlpm.val,_xlfn.XLOOKUP(C141,customers!$A$1:$A$1001,customers!$G$1:$G$1001,,0),IF(_xlpm.val=0,"",_xlpm.val))</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cm="1">
        <f t="array" ref="N141">_xlfn.SWITCH(I141,"rob","Robusta","exc","Excelsa","Ara","Arabica","Lib","Liberica","")</f>
        <v>Liberica</v>
      </c>
      <c r="O141" t="str" cm="1">
        <f t="array" ref="O141">_xlfn.SWITCH(J141,"M","Medium","D","Dark","L","Light")</f>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_xlfn.LET(_xlpm.val,_xlfn.XLOOKUP(C142,customers!$A$1:$A$1001,customers!$C$1:$C$1001,,0),IF(_xlpm.val=0,"",_xlpm.val))</f>
        <v>vkundt3w@bigcartel.com</v>
      </c>
      <c r="H142" s="2" t="str">
        <f>_xlfn.LET(_xlpm.val,_xlfn.XLOOKUP(C142,customers!$A$1:$A$1001,customers!$G$1:$G$1001,,0),IF(_xlpm.val=0,"",_xlpm.val))</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cm="1">
        <f t="array" ref="N142">_xlfn.SWITCH(I142,"rob","Robusta","exc","Excelsa","Ara","Arabica","Lib","Liberica","")</f>
        <v>Liberica</v>
      </c>
      <c r="O142" t="str" cm="1">
        <f t="array" ref="O142">_xlfn.SWITCH(J142,"M","Medium","D","Dark","L","Light")</f>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_xlfn.LET(_xlpm.val,_xlfn.XLOOKUP(C143,customers!$A$1:$A$1001,customers!$C$1:$C$1001,,0),IF(_xlpm.val=0,"",_xlpm.val))</f>
        <v>bbett3x@google.de</v>
      </c>
      <c r="H143" s="2" t="str">
        <f>_xlfn.LET(_xlpm.val,_xlfn.XLOOKUP(C143,customers!$A$1:$A$1001,customers!$G$1:$G$1001,,0),IF(_xlpm.val=0,"",_xlpm.val))</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cm="1">
        <f t="array" ref="N143">_xlfn.SWITCH(I143,"rob","Robusta","exc","Excelsa","Ara","Arabica","Lib","Liberica","")</f>
        <v>Arabica</v>
      </c>
      <c r="O143" t="str" cm="1">
        <f t="array" ref="O143">_xlfn.SWITCH(J143,"M","Medium","D","Dark","L","Light")</f>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_xlfn.LET(_xlpm.val,_xlfn.XLOOKUP(C144,customers!$A$1:$A$1001,customers!$C$1:$C$1001,,0),IF(_xlpm.val=0,"",_xlpm.val))</f>
        <v/>
      </c>
      <c r="H144" s="2" t="str">
        <f>_xlfn.LET(_xlpm.val,_xlfn.XLOOKUP(C144,customers!$A$1:$A$1001,customers!$G$1:$G$1001,,0),IF(_xlpm.val=0,"",_xlpm.val))</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cm="1">
        <f t="array" ref="N144">_xlfn.SWITCH(I144,"rob","Robusta","exc","Excelsa","Ara","Arabica","Lib","Liberica","")</f>
        <v>Excelsa</v>
      </c>
      <c r="O144" t="str" cm="1">
        <f t="array" ref="O144">_xlfn.SWITCH(J144,"M","Medium","D","Dark","L","Light")</f>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_xlfn.LET(_xlpm.val,_xlfn.XLOOKUP(C145,customers!$A$1:$A$1001,customers!$C$1:$C$1001,,0),IF(_xlpm.val=0,"",_xlpm.val))</f>
        <v>dstaite3z@scientificamerican.com</v>
      </c>
      <c r="H145" s="2" t="str">
        <f>_xlfn.LET(_xlpm.val,_xlfn.XLOOKUP(C145,customers!$A$1:$A$1001,customers!$G$1:$G$1001,,0),IF(_xlpm.val=0,"",_xlpm.val))</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cm="1">
        <f t="array" ref="N145">_xlfn.SWITCH(I145,"rob","Robusta","exc","Excelsa","Ara","Arabica","Lib","Liberica","")</f>
        <v>Liberica</v>
      </c>
      <c r="O145" t="str" cm="1">
        <f t="array" ref="O145">_xlfn.SWITCH(J145,"M","Medium","D","Dark","L","Light")</f>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_xlfn.LET(_xlpm.val,_xlfn.XLOOKUP(C146,customers!$A$1:$A$1001,customers!$C$1:$C$1001,,0),IF(_xlpm.val=0,"",_xlpm.val))</f>
        <v>wkeyse40@apple.com</v>
      </c>
      <c r="H146" s="2" t="str">
        <f>_xlfn.LET(_xlpm.val,_xlfn.XLOOKUP(C146,customers!$A$1:$A$1001,customers!$G$1:$G$1001,,0),IF(_xlpm.val=0,"",_xlpm.val))</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cm="1">
        <f t="array" ref="N146">_xlfn.SWITCH(I146,"rob","Robusta","exc","Excelsa","Ara","Arabica","Lib","Liberica","")</f>
        <v>Excelsa</v>
      </c>
      <c r="O146" t="str" cm="1">
        <f t="array" ref="O146">_xlfn.SWITCH(J146,"M","Medium","D","Dark","L","Light")</f>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_xlfn.LET(_xlpm.val,_xlfn.XLOOKUP(C147,customers!$A$1:$A$1001,customers!$C$1:$C$1001,,0),IF(_xlpm.val=0,"",_xlpm.val))</f>
        <v>oclausenthue41@marriott.com</v>
      </c>
      <c r="H147" s="2" t="str">
        <f>_xlfn.LET(_xlpm.val,_xlfn.XLOOKUP(C147,customers!$A$1:$A$1001,customers!$G$1:$G$1001,,0),IF(_xlpm.val=0,"",_xlpm.val))</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cm="1">
        <f t="array" ref="N147">_xlfn.SWITCH(I147,"rob","Robusta","exc","Excelsa","Ara","Arabica","Lib","Liberica","")</f>
        <v>Liberica</v>
      </c>
      <c r="O147" t="str" cm="1">
        <f t="array" ref="O147">_xlfn.SWITCH(J147,"M","Medium","D","Dark","L","Light")</f>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_xlfn.LET(_xlpm.val,_xlfn.XLOOKUP(C148,customers!$A$1:$A$1001,customers!$C$1:$C$1001,,0),IF(_xlpm.val=0,"",_xlpm.val))</f>
        <v>lfrancisco42@fema.gov</v>
      </c>
      <c r="H148" s="2" t="str">
        <f>_xlfn.LET(_xlpm.val,_xlfn.XLOOKUP(C148,customers!$A$1:$A$1001,customers!$G$1:$G$1001,,0),IF(_xlpm.val=0,"",_xlpm.val))</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cm="1">
        <f t="array" ref="N148">_xlfn.SWITCH(I148,"rob","Robusta","exc","Excelsa","Ara","Arabica","Lib","Liberica","")</f>
        <v>Liberica</v>
      </c>
      <c r="O148" t="str" cm="1">
        <f t="array" ref="O148">_xlfn.SWITCH(J148,"M","Medium","D","Dark","L","Light")</f>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_xlfn.LET(_xlpm.val,_xlfn.XLOOKUP(C149,customers!$A$1:$A$1001,customers!$C$1:$C$1001,,0),IF(_xlpm.val=0,"",_xlpm.val))</f>
        <v>lfrancisco42@fema.gov</v>
      </c>
      <c r="H149" s="2" t="str">
        <f>_xlfn.LET(_xlpm.val,_xlfn.XLOOKUP(C149,customers!$A$1:$A$1001,customers!$G$1:$G$1001,,0),IF(_xlpm.val=0,"",_xlpm.val))</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cm="1">
        <f t="array" ref="N149">_xlfn.SWITCH(I149,"rob","Robusta","exc","Excelsa","Ara","Arabica","Lib","Liberica","")</f>
        <v>Excelsa</v>
      </c>
      <c r="O149" t="str" cm="1">
        <f t="array" ref="O149">_xlfn.SWITCH(J149,"M","Medium","D","Dark","L","Light")</f>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_xlfn.LET(_xlpm.val,_xlfn.XLOOKUP(C150,customers!$A$1:$A$1001,customers!$C$1:$C$1001,,0),IF(_xlpm.val=0,"",_xlpm.val))</f>
        <v>gskingle44@clickbank.net</v>
      </c>
      <c r="H150" s="2" t="str">
        <f>_xlfn.LET(_xlpm.val,_xlfn.XLOOKUP(C150,customers!$A$1:$A$1001,customers!$G$1:$G$1001,,0),IF(_xlpm.val=0,"",_xlpm.val))</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cm="1">
        <f t="array" ref="N150">_xlfn.SWITCH(I150,"rob","Robusta","exc","Excelsa","Ara","Arabica","Lib","Liberica","")</f>
        <v>Excelsa</v>
      </c>
      <c r="O150" t="str" cm="1">
        <f t="array" ref="O150">_xlfn.SWITCH(J150,"M","Medium","D","Dark","L","Light")</f>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_xlfn.LET(_xlpm.val,_xlfn.XLOOKUP(C151,customers!$A$1:$A$1001,customers!$C$1:$C$1001,,0),IF(_xlpm.val=0,"",_xlpm.val))</f>
        <v/>
      </c>
      <c r="H151" s="2" t="str">
        <f>_xlfn.LET(_xlpm.val,_xlfn.XLOOKUP(C151,customers!$A$1:$A$1001,customers!$G$1:$G$1001,,0),IF(_xlpm.val=0,"",_xlpm.val))</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cm="1">
        <f t="array" ref="N151">_xlfn.SWITCH(I151,"rob","Robusta","exc","Excelsa","Ara","Arabica","Lib","Liberica","")</f>
        <v>Arabica</v>
      </c>
      <c r="O151" t="str" cm="1">
        <f t="array" ref="O151">_xlfn.SWITCH(J151,"M","Medium","D","Dark","L","Light")</f>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_xlfn.LET(_xlpm.val,_xlfn.XLOOKUP(C152,customers!$A$1:$A$1001,customers!$C$1:$C$1001,,0),IF(_xlpm.val=0,"",_xlpm.val))</f>
        <v>jbalsillie46@princeton.edu</v>
      </c>
      <c r="H152" s="2" t="str">
        <f>_xlfn.LET(_xlpm.val,_xlfn.XLOOKUP(C152,customers!$A$1:$A$1001,customers!$G$1:$G$1001,,0),IF(_xlpm.val=0,"",_xlpm.val))</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cm="1">
        <f t="array" ref="N152">_xlfn.SWITCH(I152,"rob","Robusta","exc","Excelsa","Ara","Arabica","Lib","Liberica","")</f>
        <v>Liberica</v>
      </c>
      <c r="O152" t="str" cm="1">
        <f t="array" ref="O152">_xlfn.SWITCH(J152,"M","Medium","D","Dark","L","Light")</f>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_xlfn.LET(_xlpm.val,_xlfn.XLOOKUP(C153,customers!$A$1:$A$1001,customers!$C$1:$C$1001,,0),IF(_xlpm.val=0,"",_xlpm.val))</f>
        <v/>
      </c>
      <c r="H153" s="2" t="str">
        <f>_xlfn.LET(_xlpm.val,_xlfn.XLOOKUP(C153,customers!$A$1:$A$1001,customers!$G$1:$G$1001,,0),IF(_xlpm.val=0,"",_xlpm.val))</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cm="1">
        <f t="array" ref="N153">_xlfn.SWITCH(I153,"rob","Robusta","exc","Excelsa","Ara","Arabica","Lib","Liberica","")</f>
        <v>Arabica</v>
      </c>
      <c r="O153" t="str" cm="1">
        <f t="array" ref="O153">_xlfn.SWITCH(J153,"M","Medium","D","Dark","L","Light")</f>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_xlfn.LET(_xlpm.val,_xlfn.XLOOKUP(C154,customers!$A$1:$A$1001,customers!$C$1:$C$1001,,0),IF(_xlpm.val=0,"",_xlpm.val))</f>
        <v>bleffek48@ning.com</v>
      </c>
      <c r="H154" s="2" t="str">
        <f>_xlfn.LET(_xlpm.val,_xlfn.XLOOKUP(C154,customers!$A$1:$A$1001,customers!$G$1:$G$1001,,0),IF(_xlpm.val=0,"",_xlpm.val))</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cm="1">
        <f t="array" ref="N154">_xlfn.SWITCH(I154,"rob","Robusta","exc","Excelsa","Ara","Arabica","Lib","Liberica","")</f>
        <v>Robusta</v>
      </c>
      <c r="O154" t="str" cm="1">
        <f t="array" ref="O154">_xlfn.SWITCH(J154,"M","Medium","D","Dark","L","Light")</f>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_xlfn.LET(_xlpm.val,_xlfn.XLOOKUP(C155,customers!$A$1:$A$1001,customers!$C$1:$C$1001,,0),IF(_xlpm.val=0,"",_xlpm.val))</f>
        <v/>
      </c>
      <c r="H155" s="2" t="str">
        <f>_xlfn.LET(_xlpm.val,_xlfn.XLOOKUP(C155,customers!$A$1:$A$1001,customers!$G$1:$G$1001,,0),IF(_xlpm.val=0,"",_xlpm.val))</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cm="1">
        <f t="array" ref="N155">_xlfn.SWITCH(I155,"rob","Robusta","exc","Excelsa","Ara","Arabica","Lib","Liberica","")</f>
        <v>Robusta</v>
      </c>
      <c r="O155" t="str" cm="1">
        <f t="array" ref="O155">_xlfn.SWITCH(J155,"M","Medium","D","Dark","L","Light")</f>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_xlfn.LET(_xlpm.val,_xlfn.XLOOKUP(C156,customers!$A$1:$A$1001,customers!$C$1:$C$1001,,0),IF(_xlpm.val=0,"",_xlpm.val))</f>
        <v>jpray4a@youtube.com</v>
      </c>
      <c r="H156" s="2" t="str">
        <f>_xlfn.LET(_xlpm.val,_xlfn.XLOOKUP(C156,customers!$A$1:$A$1001,customers!$G$1:$G$1001,,0),IF(_xlpm.val=0,"",_xlpm.val))</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cm="1">
        <f t="array" ref="N156">_xlfn.SWITCH(I156,"rob","Robusta","exc","Excelsa","Ara","Arabica","Lib","Liberica","")</f>
        <v>Arabica</v>
      </c>
      <c r="O156" t="str" cm="1">
        <f t="array" ref="O156">_xlfn.SWITCH(J156,"M","Medium","D","Dark","L","Light")</f>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_xlfn.LET(_xlpm.val,_xlfn.XLOOKUP(C157,customers!$A$1:$A$1001,customers!$C$1:$C$1001,,0),IF(_xlpm.val=0,"",_xlpm.val))</f>
        <v>gholborn4b@ow.ly</v>
      </c>
      <c r="H157" s="2" t="str">
        <f>_xlfn.LET(_xlpm.val,_xlfn.XLOOKUP(C157,customers!$A$1:$A$1001,customers!$G$1:$G$1001,,0),IF(_xlpm.val=0,"",_xlpm.val))</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cm="1">
        <f t="array" ref="N157">_xlfn.SWITCH(I157,"rob","Robusta","exc","Excelsa","Ara","Arabica","Lib","Liberica","")</f>
        <v>Arabica</v>
      </c>
      <c r="O157" t="str" cm="1">
        <f t="array" ref="O157">_xlfn.SWITCH(J157,"M","Medium","D","Dark","L","Light")</f>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_xlfn.LET(_xlpm.val,_xlfn.XLOOKUP(C158,customers!$A$1:$A$1001,customers!$C$1:$C$1001,,0),IF(_xlpm.val=0,"",_xlpm.val))</f>
        <v>fkeinrat4c@dailymail.co.uk</v>
      </c>
      <c r="H158" s="2" t="str">
        <f>_xlfn.LET(_xlpm.val,_xlfn.XLOOKUP(C158,customers!$A$1:$A$1001,customers!$G$1:$G$1001,,0),IF(_xlpm.val=0,"",_xlpm.val))</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cm="1">
        <f t="array" ref="N158">_xlfn.SWITCH(I158,"rob","Robusta","exc","Excelsa","Ara","Arabica","Lib","Liberica","")</f>
        <v>Arabica</v>
      </c>
      <c r="O158" t="str" cm="1">
        <f t="array" ref="O158">_xlfn.SWITCH(J158,"M","Medium","D","Dark","L","Light")</f>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_xlfn.LET(_xlpm.val,_xlfn.XLOOKUP(C159,customers!$A$1:$A$1001,customers!$C$1:$C$1001,,0),IF(_xlpm.val=0,"",_xlpm.val))</f>
        <v>pyea4d@aol.com</v>
      </c>
      <c r="H159" s="2" t="str">
        <f>_xlfn.LET(_xlpm.val,_xlfn.XLOOKUP(C159,customers!$A$1:$A$1001,customers!$G$1:$G$1001,,0),IF(_xlpm.val=0,"",_xlpm.val))</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cm="1">
        <f t="array" ref="N159">_xlfn.SWITCH(I159,"rob","Robusta","exc","Excelsa","Ara","Arabica","Lib","Liberica","")</f>
        <v>Robusta</v>
      </c>
      <c r="O159" t="str" cm="1">
        <f t="array" ref="O159">_xlfn.SWITCH(J159,"M","Medium","D","Dark","L","Light")</f>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_xlfn.LET(_xlpm.val,_xlfn.XLOOKUP(C160,customers!$A$1:$A$1001,customers!$C$1:$C$1001,,0),IF(_xlpm.val=0,"",_xlpm.val))</f>
        <v/>
      </c>
      <c r="H160" s="2" t="str">
        <f>_xlfn.LET(_xlpm.val,_xlfn.XLOOKUP(C160,customers!$A$1:$A$1001,customers!$G$1:$G$1001,,0),IF(_xlpm.val=0,"",_xlpm.val))</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cm="1">
        <f t="array" ref="N160">_xlfn.SWITCH(I160,"rob","Robusta","exc","Excelsa","Ara","Arabica","Lib","Liberica","")</f>
        <v>Robusta</v>
      </c>
      <c r="O160" t="str" cm="1">
        <f t="array" ref="O160">_xlfn.SWITCH(J160,"M","Medium","D","Dark","L","Light")</f>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_xlfn.LET(_xlpm.val,_xlfn.XLOOKUP(C161,customers!$A$1:$A$1001,customers!$C$1:$C$1001,,0),IF(_xlpm.val=0,"",_xlpm.val))</f>
        <v/>
      </c>
      <c r="H161" s="2" t="str">
        <f>_xlfn.LET(_xlpm.val,_xlfn.XLOOKUP(C161,customers!$A$1:$A$1001,customers!$G$1:$G$1001,,0),IF(_xlpm.val=0,"",_xlpm.val))</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cm="1">
        <f t="array" ref="N161">_xlfn.SWITCH(I161,"rob","Robusta","exc","Excelsa","Ara","Arabica","Lib","Liberica","")</f>
        <v>Liberica</v>
      </c>
      <c r="O161" t="str" cm="1">
        <f t="array" ref="O161">_xlfn.SWITCH(J161,"M","Medium","D","Dark","L","Light")</f>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_xlfn.LET(_xlpm.val,_xlfn.XLOOKUP(C162,customers!$A$1:$A$1001,customers!$C$1:$C$1001,,0),IF(_xlpm.val=0,"",_xlpm.val))</f>
        <v>kswede4g@addthis.com</v>
      </c>
      <c r="H162" s="2" t="str">
        <f>_xlfn.LET(_xlpm.val,_xlfn.XLOOKUP(C162,customers!$A$1:$A$1001,customers!$G$1:$G$1001,,0),IF(_xlpm.val=0,"",_xlpm.val))</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cm="1">
        <f t="array" ref="N162">_xlfn.SWITCH(I162,"rob","Robusta","exc","Excelsa","Ara","Arabica","Lib","Liberica","")</f>
        <v>Excelsa</v>
      </c>
      <c r="O162" t="str" cm="1">
        <f t="array" ref="O162">_xlfn.SWITCH(J162,"M","Medium","D","Dark","L","Light")</f>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_xlfn.LET(_xlpm.val,_xlfn.XLOOKUP(C163,customers!$A$1:$A$1001,customers!$C$1:$C$1001,,0),IF(_xlpm.val=0,"",_xlpm.val))</f>
        <v>lrubrow4h@microsoft.com</v>
      </c>
      <c r="H163" s="2" t="str">
        <f>_xlfn.LET(_xlpm.val,_xlfn.XLOOKUP(C163,customers!$A$1:$A$1001,customers!$G$1:$G$1001,,0),IF(_xlpm.val=0,"",_xlpm.val))</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cm="1">
        <f t="array" ref="N163">_xlfn.SWITCH(I163,"rob","Robusta","exc","Excelsa","Ara","Arabica","Lib","Liberica","")</f>
        <v>Arabica</v>
      </c>
      <c r="O163" t="str" cm="1">
        <f t="array" ref="O163">_xlfn.SWITCH(J163,"M","Medium","D","Dark","L","Light")</f>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_xlfn.LET(_xlpm.val,_xlfn.XLOOKUP(C164,customers!$A$1:$A$1001,customers!$C$1:$C$1001,,0),IF(_xlpm.val=0,"",_xlpm.val))</f>
        <v>dtift4i@netvibes.com</v>
      </c>
      <c r="H164" s="2" t="str">
        <f>_xlfn.LET(_xlpm.val,_xlfn.XLOOKUP(C164,customers!$A$1:$A$1001,customers!$G$1:$G$1001,,0),IF(_xlpm.val=0,"",_xlpm.val))</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cm="1">
        <f t="array" ref="N164">_xlfn.SWITCH(I164,"rob","Robusta","exc","Excelsa","Ara","Arabica","Lib","Liberica","")</f>
        <v>Excelsa</v>
      </c>
      <c r="O164" t="str" cm="1">
        <f t="array" ref="O164">_xlfn.SWITCH(J164,"M","Medium","D","Dark","L","Light")</f>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_xlfn.LET(_xlpm.val,_xlfn.XLOOKUP(C165,customers!$A$1:$A$1001,customers!$C$1:$C$1001,,0),IF(_xlpm.val=0,"",_xlpm.val))</f>
        <v>gschonfeld4j@oracle.com</v>
      </c>
      <c r="H165" s="2" t="str">
        <f>_xlfn.LET(_xlpm.val,_xlfn.XLOOKUP(C165,customers!$A$1:$A$1001,customers!$G$1:$G$1001,,0),IF(_xlpm.val=0,"",_xlpm.val))</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cm="1">
        <f t="array" ref="N165">_xlfn.SWITCH(I165,"rob","Robusta","exc","Excelsa","Ara","Arabica","Lib","Liberica","")</f>
        <v>Robusta</v>
      </c>
      <c r="O165" t="str" cm="1">
        <f t="array" ref="O165">_xlfn.SWITCH(J165,"M","Medium","D","Dark","L","Light")</f>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_xlfn.LET(_xlpm.val,_xlfn.XLOOKUP(C166,customers!$A$1:$A$1001,customers!$C$1:$C$1001,,0),IF(_xlpm.val=0,"",_xlpm.val))</f>
        <v>cfeye4k@google.co.jp</v>
      </c>
      <c r="H166" s="2" t="str">
        <f>_xlfn.LET(_xlpm.val,_xlfn.XLOOKUP(C166,customers!$A$1:$A$1001,customers!$G$1:$G$1001,,0),IF(_xlpm.val=0,"",_xlpm.val))</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cm="1">
        <f t="array" ref="N166">_xlfn.SWITCH(I166,"rob","Robusta","exc","Excelsa","Ara","Arabica","Lib","Liberica","")</f>
        <v>Excelsa</v>
      </c>
      <c r="O166" t="str" cm="1">
        <f t="array" ref="O166">_xlfn.SWITCH(J166,"M","Medium","D","Dark","L","Light")</f>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_xlfn.LET(_xlpm.val,_xlfn.XLOOKUP(C167,customers!$A$1:$A$1001,customers!$C$1:$C$1001,,0),IF(_xlpm.val=0,"",_xlpm.val))</f>
        <v/>
      </c>
      <c r="H167" s="2" t="str">
        <f>_xlfn.LET(_xlpm.val,_xlfn.XLOOKUP(C167,customers!$A$1:$A$1001,customers!$G$1:$G$1001,,0),IF(_xlpm.val=0,"",_xlpm.val))</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cm="1">
        <f t="array" ref="N167">_xlfn.SWITCH(I167,"rob","Robusta","exc","Excelsa","Ara","Arabica","Lib","Liberica","")</f>
        <v>Robusta</v>
      </c>
      <c r="O167" t="str" cm="1">
        <f t="array" ref="O167">_xlfn.SWITCH(J167,"M","Medium","D","Dark","L","Light")</f>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_xlfn.LET(_xlpm.val,_xlfn.XLOOKUP(C168,customers!$A$1:$A$1001,customers!$C$1:$C$1001,,0),IF(_xlpm.val=0,"",_xlpm.val))</f>
        <v/>
      </c>
      <c r="H168" s="2" t="str">
        <f>_xlfn.LET(_xlpm.val,_xlfn.XLOOKUP(C168,customers!$A$1:$A$1001,customers!$G$1:$G$1001,,0),IF(_xlpm.val=0,"",_xlpm.val))</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cm="1">
        <f t="array" ref="N168">_xlfn.SWITCH(I168,"rob","Robusta","exc","Excelsa","Ara","Arabica","Lib","Liberica","")</f>
        <v>Robusta</v>
      </c>
      <c r="O168" t="str" cm="1">
        <f t="array" ref="O168">_xlfn.SWITCH(J168,"M","Medium","D","Dark","L","Light")</f>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_xlfn.LET(_xlpm.val,_xlfn.XLOOKUP(C169,customers!$A$1:$A$1001,customers!$C$1:$C$1001,,0),IF(_xlpm.val=0,"",_xlpm.val))</f>
        <v>tfero4n@comsenz.com</v>
      </c>
      <c r="H169" s="2" t="str">
        <f>_xlfn.LET(_xlpm.val,_xlfn.XLOOKUP(C169,customers!$A$1:$A$1001,customers!$G$1:$G$1001,,0),IF(_xlpm.val=0,"",_xlpm.val))</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cm="1">
        <f t="array" ref="N169">_xlfn.SWITCH(I169,"rob","Robusta","exc","Excelsa","Ara","Arabica","Lib","Liberica","")</f>
        <v>Excelsa</v>
      </c>
      <c r="O169" t="str" cm="1">
        <f t="array" ref="O169">_xlfn.SWITCH(J169,"M","Medium","D","Dark","L","Light")</f>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_xlfn.LET(_xlpm.val,_xlfn.XLOOKUP(C170,customers!$A$1:$A$1001,customers!$C$1:$C$1001,,0),IF(_xlpm.val=0,"",_xlpm.val))</f>
        <v/>
      </c>
      <c r="H170" s="2" t="str">
        <f>_xlfn.LET(_xlpm.val,_xlfn.XLOOKUP(C170,customers!$A$1:$A$1001,customers!$G$1:$G$1001,,0),IF(_xlpm.val=0,"",_xlpm.val))</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cm="1">
        <f t="array" ref="N170">_xlfn.SWITCH(I170,"rob","Robusta","exc","Excelsa","Ara","Arabica","Lib","Liberica","")</f>
        <v>Arabica</v>
      </c>
      <c r="O170" t="str" cm="1">
        <f t="array" ref="O170">_xlfn.SWITCH(J170,"M","Medium","D","Dark","L","Light")</f>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_xlfn.LET(_xlpm.val,_xlfn.XLOOKUP(C171,customers!$A$1:$A$1001,customers!$C$1:$C$1001,,0),IF(_xlpm.val=0,"",_xlpm.val))</f>
        <v>fdauney4p@sphinn.com</v>
      </c>
      <c r="H171" s="2" t="str">
        <f>_xlfn.LET(_xlpm.val,_xlfn.XLOOKUP(C171,customers!$A$1:$A$1001,customers!$G$1:$G$1001,,0),IF(_xlpm.val=0,"",_xlpm.val))</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cm="1">
        <f t="array" ref="N171">_xlfn.SWITCH(I171,"rob","Robusta","exc","Excelsa","Ara","Arabica","Lib","Liberica","")</f>
        <v>Robusta</v>
      </c>
      <c r="O171" t="str" cm="1">
        <f t="array" ref="O171">_xlfn.SWITCH(J171,"M","Medium","D","Dark","L","Light")</f>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_xlfn.LET(_xlpm.val,_xlfn.XLOOKUP(C172,customers!$A$1:$A$1001,customers!$C$1:$C$1001,,0),IF(_xlpm.val=0,"",_xlpm.val))</f>
        <v>searley4q@youku.com</v>
      </c>
      <c r="H172" s="2" t="str">
        <f>_xlfn.LET(_xlpm.val,_xlfn.XLOOKUP(C172,customers!$A$1:$A$1001,customers!$G$1:$G$1001,,0),IF(_xlpm.val=0,"",_xlpm.val))</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cm="1">
        <f t="array" ref="N172">_xlfn.SWITCH(I172,"rob","Robusta","exc","Excelsa","Ara","Arabica","Lib","Liberica","")</f>
        <v>Excelsa</v>
      </c>
      <c r="O172" t="str" cm="1">
        <f t="array" ref="O172">_xlfn.SWITCH(J172,"M","Medium","D","Dark","L","Light")</f>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_xlfn.LET(_xlpm.val,_xlfn.XLOOKUP(C173,customers!$A$1:$A$1001,customers!$C$1:$C$1001,,0),IF(_xlpm.val=0,"",_xlpm.val))</f>
        <v>mchamberlayne4r@bigcartel.com</v>
      </c>
      <c r="H173" s="2" t="str">
        <f>_xlfn.LET(_xlpm.val,_xlfn.XLOOKUP(C173,customers!$A$1:$A$1001,customers!$G$1:$G$1001,,0),IF(_xlpm.val=0,"",_xlpm.val))</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cm="1">
        <f t="array" ref="N173">_xlfn.SWITCH(I173,"rob","Robusta","exc","Excelsa","Ara","Arabica","Lib","Liberica","")</f>
        <v>Excelsa</v>
      </c>
      <c r="O173" t="str" cm="1">
        <f t="array" ref="O173">_xlfn.SWITCH(J173,"M","Medium","D","Dark","L","Light")</f>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_xlfn.LET(_xlpm.val,_xlfn.XLOOKUP(C174,customers!$A$1:$A$1001,customers!$C$1:$C$1001,,0),IF(_xlpm.val=0,"",_xlpm.val))</f>
        <v>bflaherty4s@moonfruit.com</v>
      </c>
      <c r="H174" s="2" t="str">
        <f>_xlfn.LET(_xlpm.val,_xlfn.XLOOKUP(C174,customers!$A$1:$A$1001,customers!$G$1:$G$1001,,0),IF(_xlpm.val=0,"",_xlpm.val))</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cm="1">
        <f t="array" ref="N174">_xlfn.SWITCH(I174,"rob","Robusta","exc","Excelsa","Ara","Arabica","Lib","Liberica","")</f>
        <v>Excelsa</v>
      </c>
      <c r="O174" t="str" cm="1">
        <f t="array" ref="O174">_xlfn.SWITCH(J174,"M","Medium","D","Dark","L","Light")</f>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_xlfn.LET(_xlpm.val,_xlfn.XLOOKUP(C175,customers!$A$1:$A$1001,customers!$C$1:$C$1001,,0),IF(_xlpm.val=0,"",_xlpm.val))</f>
        <v>ocolbeck4t@sina.com.cn</v>
      </c>
      <c r="H175" s="2" t="str">
        <f>_xlfn.LET(_xlpm.val,_xlfn.XLOOKUP(C175,customers!$A$1:$A$1001,customers!$G$1:$G$1001,,0),IF(_xlpm.val=0,"",_xlpm.val))</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cm="1">
        <f t="array" ref="N175">_xlfn.SWITCH(I175,"rob","Robusta","exc","Excelsa","Ara","Arabica","Lib","Liberica","")</f>
        <v>Robusta</v>
      </c>
      <c r="O175" t="str" cm="1">
        <f t="array" ref="O175">_xlfn.SWITCH(J175,"M","Medium","D","Dark","L","Light")</f>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_xlfn.LET(_xlpm.val,_xlfn.XLOOKUP(C176,customers!$A$1:$A$1001,customers!$C$1:$C$1001,,0),IF(_xlpm.val=0,"",_xlpm.val))</f>
        <v/>
      </c>
      <c r="H176" s="2" t="str">
        <f>_xlfn.LET(_xlpm.val,_xlfn.XLOOKUP(C176,customers!$A$1:$A$1001,customers!$G$1:$G$1001,,0),IF(_xlpm.val=0,"",_xlpm.val))</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cm="1">
        <f t="array" ref="N176">_xlfn.SWITCH(I176,"rob","Robusta","exc","Excelsa","Ara","Arabica","Lib","Liberica","")</f>
        <v>Excelsa</v>
      </c>
      <c r="O176" t="str" cm="1">
        <f t="array" ref="O176">_xlfn.SWITCH(J176,"M","Medium","D","Dark","L","Light")</f>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_xlfn.LET(_xlpm.val,_xlfn.XLOOKUP(C177,customers!$A$1:$A$1001,customers!$C$1:$C$1001,,0),IF(_xlpm.val=0,"",_xlpm.val))</f>
        <v>ehobbing4v@nsw.gov.au</v>
      </c>
      <c r="H177" s="2" t="str">
        <f>_xlfn.LET(_xlpm.val,_xlfn.XLOOKUP(C177,customers!$A$1:$A$1001,customers!$G$1:$G$1001,,0),IF(_xlpm.val=0,"",_xlpm.val))</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cm="1">
        <f t="array" ref="N177">_xlfn.SWITCH(I177,"rob","Robusta","exc","Excelsa","Ara","Arabica","Lib","Liberica","")</f>
        <v>Excelsa</v>
      </c>
      <c r="O177" t="str" cm="1">
        <f t="array" ref="O177">_xlfn.SWITCH(J177,"M","Medium","D","Dark","L","Light")</f>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_xlfn.LET(_xlpm.val,_xlfn.XLOOKUP(C178,customers!$A$1:$A$1001,customers!$C$1:$C$1001,,0),IF(_xlpm.val=0,"",_xlpm.val))</f>
        <v>othynne4w@auda.org.au</v>
      </c>
      <c r="H178" s="2" t="str">
        <f>_xlfn.LET(_xlpm.val,_xlfn.XLOOKUP(C178,customers!$A$1:$A$1001,customers!$G$1:$G$1001,,0),IF(_xlpm.val=0,"",_xlpm.val))</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cm="1">
        <f t="array" ref="N178">_xlfn.SWITCH(I178,"rob","Robusta","exc","Excelsa","Ara","Arabica","Lib","Liberica","")</f>
        <v>Excelsa</v>
      </c>
      <c r="O178" t="str" cm="1">
        <f t="array" ref="O178">_xlfn.SWITCH(J178,"M","Medium","D","Dark","L","Light")</f>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_xlfn.LET(_xlpm.val,_xlfn.XLOOKUP(C179,customers!$A$1:$A$1001,customers!$C$1:$C$1001,,0),IF(_xlpm.val=0,"",_xlpm.val))</f>
        <v>eheining4x@flickr.com</v>
      </c>
      <c r="H179" s="2" t="str">
        <f>_xlfn.LET(_xlpm.val,_xlfn.XLOOKUP(C179,customers!$A$1:$A$1001,customers!$G$1:$G$1001,,0),IF(_xlpm.val=0,"",_xlpm.val))</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cm="1">
        <f t="array" ref="N179">_xlfn.SWITCH(I179,"rob","Robusta","exc","Excelsa","Ara","Arabica","Lib","Liberica","")</f>
        <v>Robusta</v>
      </c>
      <c r="O179" t="str" cm="1">
        <f t="array" ref="O179">_xlfn.SWITCH(J179,"M","Medium","D","Dark","L","Light")</f>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_xlfn.LET(_xlpm.val,_xlfn.XLOOKUP(C180,customers!$A$1:$A$1001,customers!$C$1:$C$1001,,0),IF(_xlpm.val=0,"",_xlpm.val))</f>
        <v>kmelloi4y@imdb.com</v>
      </c>
      <c r="H180" s="2" t="str">
        <f>_xlfn.LET(_xlpm.val,_xlfn.XLOOKUP(C180,customers!$A$1:$A$1001,customers!$G$1:$G$1001,,0),IF(_xlpm.val=0,"",_xlpm.val))</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cm="1">
        <f t="array" ref="N180">_xlfn.SWITCH(I180,"rob","Robusta","exc","Excelsa","Ara","Arabica","Lib","Liberica","")</f>
        <v>Arabica</v>
      </c>
      <c r="O180" t="str" cm="1">
        <f t="array" ref="O180">_xlfn.SWITCH(J180,"M","Medium","D","Dark","L","Light")</f>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_xlfn.LET(_xlpm.val,_xlfn.XLOOKUP(C181,customers!$A$1:$A$1001,customers!$C$1:$C$1001,,0),IF(_xlpm.val=0,"",_xlpm.val))</f>
        <v/>
      </c>
      <c r="H181" s="2" t="str">
        <f>_xlfn.LET(_xlpm.val,_xlfn.XLOOKUP(C181,customers!$A$1:$A$1001,customers!$G$1:$G$1001,,0),IF(_xlpm.val=0,"",_xlpm.val))</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cm="1">
        <f t="array" ref="N181">_xlfn.SWITCH(I181,"rob","Robusta","exc","Excelsa","Ara","Arabica","Lib","Liberica","")</f>
        <v>Arabica</v>
      </c>
      <c r="O181" t="str" cm="1">
        <f t="array" ref="O181">_xlfn.SWITCH(J181,"M","Medium","D","Dark","L","Light")</f>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_xlfn.LET(_xlpm.val,_xlfn.XLOOKUP(C182,customers!$A$1:$A$1001,customers!$C$1:$C$1001,,0),IF(_xlpm.val=0,"",_xlpm.val))</f>
        <v>amussen50@51.la</v>
      </c>
      <c r="H182" s="2" t="str">
        <f>_xlfn.LET(_xlpm.val,_xlfn.XLOOKUP(C182,customers!$A$1:$A$1001,customers!$G$1:$G$1001,,0),IF(_xlpm.val=0,"",_xlpm.val))</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cm="1">
        <f t="array" ref="N182">_xlfn.SWITCH(I182,"rob","Robusta","exc","Excelsa","Ara","Arabica","Lib","Liberica","")</f>
        <v>Excelsa</v>
      </c>
      <c r="O182" t="str" cm="1">
        <f t="array" ref="O182">_xlfn.SWITCH(J182,"M","Medium","D","Dark","L","Light")</f>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_xlfn.LET(_xlpm.val,_xlfn.XLOOKUP(C183,customers!$A$1:$A$1001,customers!$C$1:$C$1001,,0),IF(_xlpm.val=0,"",_xlpm.val))</f>
        <v>amussen50@51.la</v>
      </c>
      <c r="H183" s="2" t="str">
        <f>_xlfn.LET(_xlpm.val,_xlfn.XLOOKUP(C183,customers!$A$1:$A$1001,customers!$G$1:$G$1001,,0),IF(_xlpm.val=0,"",_xlpm.val))</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cm="1">
        <f t="array" ref="N183">_xlfn.SWITCH(I183,"rob","Robusta","exc","Excelsa","Ara","Arabica","Lib","Liberica","")</f>
        <v>Arabica</v>
      </c>
      <c r="O183" t="str" cm="1">
        <f t="array" ref="O183">_xlfn.SWITCH(J183,"M","Medium","D","Dark","L","Light")</f>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_xlfn.LET(_xlpm.val,_xlfn.XLOOKUP(C184,customers!$A$1:$A$1001,customers!$C$1:$C$1001,,0),IF(_xlpm.val=0,"",_xlpm.val))</f>
        <v>amundford52@nbcnews.com</v>
      </c>
      <c r="H184" s="2" t="str">
        <f>_xlfn.LET(_xlpm.val,_xlfn.XLOOKUP(C184,customers!$A$1:$A$1001,customers!$G$1:$G$1001,,0),IF(_xlpm.val=0,"",_xlpm.val))</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cm="1">
        <f t="array" ref="N184">_xlfn.SWITCH(I184,"rob","Robusta","exc","Excelsa","Ara","Arabica","Lib","Liberica","")</f>
        <v>Robusta</v>
      </c>
      <c r="O184" t="str" cm="1">
        <f t="array" ref="O184">_xlfn.SWITCH(J184,"M","Medium","D","Dark","L","Light")</f>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_xlfn.LET(_xlpm.val,_xlfn.XLOOKUP(C185,customers!$A$1:$A$1001,customers!$C$1:$C$1001,,0),IF(_xlpm.val=0,"",_xlpm.val))</f>
        <v>twalas53@google.ca</v>
      </c>
      <c r="H185" s="2" t="str">
        <f>_xlfn.LET(_xlpm.val,_xlfn.XLOOKUP(C185,customers!$A$1:$A$1001,customers!$G$1:$G$1001,,0),IF(_xlpm.val=0,"",_xlpm.val))</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cm="1">
        <f t="array" ref="N185">_xlfn.SWITCH(I185,"rob","Robusta","exc","Excelsa","Ara","Arabica","Lib","Liberica","")</f>
        <v>Excelsa</v>
      </c>
      <c r="O185" t="str" cm="1">
        <f t="array" ref="O185">_xlfn.SWITCH(J185,"M","Medium","D","Dark","L","Light")</f>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_xlfn.LET(_xlpm.val,_xlfn.XLOOKUP(C186,customers!$A$1:$A$1001,customers!$C$1:$C$1001,,0),IF(_xlpm.val=0,"",_xlpm.val))</f>
        <v>iblazewicz54@thetimes.co.uk</v>
      </c>
      <c r="H186" s="2" t="str">
        <f>_xlfn.LET(_xlpm.val,_xlfn.XLOOKUP(C186,customers!$A$1:$A$1001,customers!$G$1:$G$1001,,0),IF(_xlpm.val=0,"",_xlpm.val))</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cm="1">
        <f t="array" ref="N186">_xlfn.SWITCH(I186,"rob","Robusta","exc","Excelsa","Ara","Arabica","Lib","Liberica","")</f>
        <v>Arabica</v>
      </c>
      <c r="O186" t="str" cm="1">
        <f t="array" ref="O186">_xlfn.SWITCH(J186,"M","Medium","D","Dark","L","Light")</f>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_xlfn.LET(_xlpm.val,_xlfn.XLOOKUP(C187,customers!$A$1:$A$1001,customers!$C$1:$C$1001,,0),IF(_xlpm.val=0,"",_xlpm.val))</f>
        <v>arizzetti55@naver.com</v>
      </c>
      <c r="H187" s="2" t="str">
        <f>_xlfn.LET(_xlpm.val,_xlfn.XLOOKUP(C187,customers!$A$1:$A$1001,customers!$G$1:$G$1001,,0),IF(_xlpm.val=0,"",_xlpm.val))</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cm="1">
        <f t="array" ref="N187">_xlfn.SWITCH(I187,"rob","Robusta","exc","Excelsa","Ara","Arabica","Lib","Liberica","")</f>
        <v>Excelsa</v>
      </c>
      <c r="O187" t="str" cm="1">
        <f t="array" ref="O187">_xlfn.SWITCH(J187,"M","Medium","D","Dark","L","Light")</f>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_xlfn.LET(_xlpm.val,_xlfn.XLOOKUP(C188,customers!$A$1:$A$1001,customers!$C$1:$C$1001,,0),IF(_xlpm.val=0,"",_xlpm.val))</f>
        <v>mmeriet56@noaa.gov</v>
      </c>
      <c r="H188" s="2" t="str">
        <f>_xlfn.LET(_xlpm.val,_xlfn.XLOOKUP(C188,customers!$A$1:$A$1001,customers!$G$1:$G$1001,,0),IF(_xlpm.val=0,"",_xlpm.val))</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cm="1">
        <f t="array" ref="N188">_xlfn.SWITCH(I188,"rob","Robusta","exc","Excelsa","Ara","Arabica","Lib","Liberica","")</f>
        <v>Robusta</v>
      </c>
      <c r="O188" t="str" cm="1">
        <f t="array" ref="O188">_xlfn.SWITCH(J188,"M","Medium","D","Dark","L","Light")</f>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_xlfn.LET(_xlpm.val,_xlfn.XLOOKUP(C189,customers!$A$1:$A$1001,customers!$C$1:$C$1001,,0),IF(_xlpm.val=0,"",_xlpm.val))</f>
        <v>lpratt57@netvibes.com</v>
      </c>
      <c r="H189" s="2" t="str">
        <f>_xlfn.LET(_xlpm.val,_xlfn.XLOOKUP(C189,customers!$A$1:$A$1001,customers!$G$1:$G$1001,,0),IF(_xlpm.val=0,"",_xlpm.val))</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cm="1">
        <f t="array" ref="N189">_xlfn.SWITCH(I189,"rob","Robusta","exc","Excelsa","Ara","Arabica","Lib","Liberica","")</f>
        <v>Liberica</v>
      </c>
      <c r="O189" t="str" cm="1">
        <f t="array" ref="O189">_xlfn.SWITCH(J189,"M","Medium","D","Dark","L","Light")</f>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_xlfn.LET(_xlpm.val,_xlfn.XLOOKUP(C190,customers!$A$1:$A$1001,customers!$C$1:$C$1001,,0),IF(_xlpm.val=0,"",_xlpm.val))</f>
        <v>akitchingham58@com.com</v>
      </c>
      <c r="H190" s="2" t="str">
        <f>_xlfn.LET(_xlpm.val,_xlfn.XLOOKUP(C190,customers!$A$1:$A$1001,customers!$G$1:$G$1001,,0),IF(_xlpm.val=0,"",_xlpm.val))</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cm="1">
        <f t="array" ref="N190">_xlfn.SWITCH(I190,"rob","Robusta","exc","Excelsa","Ara","Arabica","Lib","Liberica","")</f>
        <v>Excelsa</v>
      </c>
      <c r="O190" t="str" cm="1">
        <f t="array" ref="O190">_xlfn.SWITCH(J190,"M","Medium","D","Dark","L","Light")</f>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_xlfn.LET(_xlpm.val,_xlfn.XLOOKUP(C191,customers!$A$1:$A$1001,customers!$C$1:$C$1001,,0),IF(_xlpm.val=0,"",_xlpm.val))</f>
        <v>bbartholin59@xinhuanet.com</v>
      </c>
      <c r="H191" s="2" t="str">
        <f>_xlfn.LET(_xlpm.val,_xlfn.XLOOKUP(C191,customers!$A$1:$A$1001,customers!$G$1:$G$1001,,0),IF(_xlpm.val=0,"",_xlpm.val))</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cm="1">
        <f t="array" ref="N191">_xlfn.SWITCH(I191,"rob","Robusta","exc","Excelsa","Ara","Arabica","Lib","Liberica","")</f>
        <v>Liberica</v>
      </c>
      <c r="O191" t="str" cm="1">
        <f t="array" ref="O191">_xlfn.SWITCH(J191,"M","Medium","D","Dark","L","Light")</f>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_xlfn.LET(_xlpm.val,_xlfn.XLOOKUP(C192,customers!$A$1:$A$1001,customers!$C$1:$C$1001,,0),IF(_xlpm.val=0,"",_xlpm.val))</f>
        <v>mprinn5a@usa.gov</v>
      </c>
      <c r="H192" s="2" t="str">
        <f>_xlfn.LET(_xlpm.val,_xlfn.XLOOKUP(C192,customers!$A$1:$A$1001,customers!$G$1:$G$1001,,0),IF(_xlpm.val=0,"",_xlpm.val))</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cm="1">
        <f t="array" ref="N192">_xlfn.SWITCH(I192,"rob","Robusta","exc","Excelsa","Ara","Arabica","Lib","Liberica","")</f>
        <v>Liberica</v>
      </c>
      <c r="O192" t="str" cm="1">
        <f t="array" ref="O192">_xlfn.SWITCH(J192,"M","Medium","D","Dark","L","Light")</f>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_xlfn.LET(_xlpm.val,_xlfn.XLOOKUP(C193,customers!$A$1:$A$1001,customers!$C$1:$C$1001,,0),IF(_xlpm.val=0,"",_xlpm.val))</f>
        <v>abaudino5b@netvibes.com</v>
      </c>
      <c r="H193" s="2" t="str">
        <f>_xlfn.LET(_xlpm.val,_xlfn.XLOOKUP(C193,customers!$A$1:$A$1001,customers!$G$1:$G$1001,,0),IF(_xlpm.val=0,"",_xlpm.val))</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cm="1">
        <f t="array" ref="N193">_xlfn.SWITCH(I193,"rob","Robusta","exc","Excelsa","Ara","Arabica","Lib","Liberica","")</f>
        <v>Liberica</v>
      </c>
      <c r="O193" t="str" cm="1">
        <f t="array" ref="O193">_xlfn.SWITCH(J193,"M","Medium","D","Dark","L","Light")</f>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_xlfn.LET(_xlpm.val,_xlfn.XLOOKUP(C194,customers!$A$1:$A$1001,customers!$C$1:$C$1001,,0),IF(_xlpm.val=0,"",_xlpm.val))</f>
        <v>ppetrushanko5c@blinklist.com</v>
      </c>
      <c r="H194" s="2" t="str">
        <f>_xlfn.LET(_xlpm.val,_xlfn.XLOOKUP(C194,customers!$A$1:$A$1001,customers!$G$1:$G$1001,,0),IF(_xlpm.val=0,"",_xlpm.val))</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cm="1">
        <f t="array" ref="N194">_xlfn.SWITCH(I194,"rob","Robusta","exc","Excelsa","Ara","Arabica","Lib","Liberica","")</f>
        <v>Excelsa</v>
      </c>
      <c r="O194" t="str" cm="1">
        <f t="array" ref="O194">_xlfn.SWITCH(J194,"M","Medium","D","Dark","L","Light")</f>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_xlfn.LET(_xlpm.val,_xlfn.XLOOKUP(C195,customers!$A$1:$A$1001,customers!$C$1:$C$1001,,0),IF(_xlpm.val=0,"",_xlpm.val))</f>
        <v/>
      </c>
      <c r="H195" s="2" t="str">
        <f>_xlfn.LET(_xlpm.val,_xlfn.XLOOKUP(C195,customers!$A$1:$A$1001,customers!$G$1:$G$1001,,0),IF(_xlpm.val=0,"",_xlpm.val))</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L195*E195</f>
        <v>44.55</v>
      </c>
      <c r="N195" t="str" cm="1">
        <f t="array" ref="N195">_xlfn.SWITCH(I195,"rob","Robusta","exc","Excelsa","Ara","Arabica","Lib","Liberica","")</f>
        <v>Excelsa</v>
      </c>
      <c r="O195" t="str" cm="1">
        <f t="array" ref="O195">_xlfn.SWITCH(J195,"M","Medium","D","Dark","L","Light")</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_xlfn.LET(_xlpm.val,_xlfn.XLOOKUP(C196,customers!$A$1:$A$1001,customers!$C$1:$C$1001,,0),IF(_xlpm.val=0,"",_xlpm.val))</f>
        <v>elaird5e@bing.com</v>
      </c>
      <c r="H196" s="2" t="str">
        <f>_xlfn.LET(_xlpm.val,_xlfn.XLOOKUP(C196,customers!$A$1:$A$1001,customers!$G$1:$G$1001,,0),IF(_xlpm.val=0,"",_xlpm.val))</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cm="1">
        <f t="array" ref="N196">_xlfn.SWITCH(I196,"rob","Robusta","exc","Excelsa","Ara","Arabica","Lib","Liberica","")</f>
        <v>Excelsa</v>
      </c>
      <c r="O196" t="str" cm="1">
        <f t="array" ref="O196">_xlfn.SWITCH(J196,"M","Medium","D","Dark","L","Light")</f>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_xlfn.LET(_xlpm.val,_xlfn.XLOOKUP(C197,customers!$A$1:$A$1001,customers!$C$1:$C$1001,,0),IF(_xlpm.val=0,"",_xlpm.val))</f>
        <v>mhowsden5f@infoseek.co.jp</v>
      </c>
      <c r="H197" s="2" t="str">
        <f>_xlfn.LET(_xlpm.val,_xlfn.XLOOKUP(C197,customers!$A$1:$A$1001,customers!$G$1:$G$1001,,0),IF(_xlpm.val=0,"",_xlpm.val))</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cm="1">
        <f t="array" ref="N197">_xlfn.SWITCH(I197,"rob","Robusta","exc","Excelsa","Ara","Arabica","Lib","Liberica","")</f>
        <v>Arabica</v>
      </c>
      <c r="O197" t="str" cm="1">
        <f t="array" ref="O197">_xlfn.SWITCH(J197,"M","Medium","D","Dark","L","Light")</f>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_xlfn.LET(_xlpm.val,_xlfn.XLOOKUP(C198,customers!$A$1:$A$1001,customers!$C$1:$C$1001,,0),IF(_xlpm.val=0,"",_xlpm.val))</f>
        <v>ncuttler5g@parallels.com</v>
      </c>
      <c r="H198" s="2" t="str">
        <f>_xlfn.LET(_xlpm.val,_xlfn.XLOOKUP(C198,customers!$A$1:$A$1001,customers!$G$1:$G$1001,,0),IF(_xlpm.val=0,"",_xlpm.val))</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cm="1">
        <f t="array" ref="N198">_xlfn.SWITCH(I198,"rob","Robusta","exc","Excelsa","Ara","Arabica","Lib","Liberica","")</f>
        <v>Excelsa</v>
      </c>
      <c r="O198" t="str" cm="1">
        <f t="array" ref="O198">_xlfn.SWITCH(J198,"M","Medium","D","Dark","L","Light")</f>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_xlfn.LET(_xlpm.val,_xlfn.XLOOKUP(C199,customers!$A$1:$A$1001,customers!$C$1:$C$1001,,0),IF(_xlpm.val=0,"",_xlpm.val))</f>
        <v>ncuttler5g@parallels.com</v>
      </c>
      <c r="H199" s="2" t="str">
        <f>_xlfn.LET(_xlpm.val,_xlfn.XLOOKUP(C199,customers!$A$1:$A$1001,customers!$G$1:$G$1001,,0),IF(_xlpm.val=0,"",_xlpm.val))</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cm="1">
        <f t="array" ref="N199">_xlfn.SWITCH(I199,"rob","Robusta","exc","Excelsa","Ara","Arabica","Lib","Liberica","")</f>
        <v>Liberica</v>
      </c>
      <c r="O199" t="str" cm="1">
        <f t="array" ref="O199">_xlfn.SWITCH(J199,"M","Medium","D","Dark","L","Light")</f>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_xlfn.LET(_xlpm.val,_xlfn.XLOOKUP(C200,customers!$A$1:$A$1001,customers!$C$1:$C$1001,,0),IF(_xlpm.val=0,"",_xlpm.val))</f>
        <v>ncuttler5g@parallels.com</v>
      </c>
      <c r="H200" s="2" t="str">
        <f>_xlfn.LET(_xlpm.val,_xlfn.XLOOKUP(C200,customers!$A$1:$A$1001,customers!$G$1:$G$1001,,0),IF(_xlpm.val=0,"",_xlpm.val))</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cm="1">
        <f t="array" ref="N200">_xlfn.SWITCH(I200,"rob","Robusta","exc","Excelsa","Ara","Arabica","Lib","Liberica","")</f>
        <v>Liberica</v>
      </c>
      <c r="O200" t="str" cm="1">
        <f t="array" ref="O200">_xlfn.SWITCH(J200,"M","Medium","D","Dark","L","Light")</f>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_xlfn.LET(_xlpm.val,_xlfn.XLOOKUP(C201,customers!$A$1:$A$1001,customers!$C$1:$C$1001,,0),IF(_xlpm.val=0,"",_xlpm.val))</f>
        <v>ncuttler5g@parallels.com</v>
      </c>
      <c r="H201" s="2" t="str">
        <f>_xlfn.LET(_xlpm.val,_xlfn.XLOOKUP(C201,customers!$A$1:$A$1001,customers!$G$1:$G$1001,,0),IF(_xlpm.val=0,"",_xlpm.val))</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cm="1">
        <f t="array" ref="N201">_xlfn.SWITCH(I201,"rob","Robusta","exc","Excelsa","Ara","Arabica","Lib","Liberica","")</f>
        <v>Liberica</v>
      </c>
      <c r="O201" t="str" cm="1">
        <f t="array" ref="O201">_xlfn.SWITCH(J201,"M","Medium","D","Dark","L","Light")</f>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_xlfn.LET(_xlpm.val,_xlfn.XLOOKUP(C202,customers!$A$1:$A$1001,customers!$C$1:$C$1001,,0),IF(_xlpm.val=0,"",_xlpm.val))</f>
        <v>ncuttler5g@parallels.com</v>
      </c>
      <c r="H202" s="2" t="str">
        <f>_xlfn.LET(_xlpm.val,_xlfn.XLOOKUP(C202,customers!$A$1:$A$1001,customers!$G$1:$G$1001,,0),IF(_xlpm.val=0,"",_xlpm.val))</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cm="1">
        <f t="array" ref="N202">_xlfn.SWITCH(I202,"rob","Robusta","exc","Excelsa","Ara","Arabica","Lib","Liberica","")</f>
        <v>Excelsa</v>
      </c>
      <c r="O202" t="str" cm="1">
        <f t="array" ref="O202">_xlfn.SWITCH(J202,"M","Medium","D","Dark","L","Light")</f>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_xlfn.LET(_xlpm.val,_xlfn.XLOOKUP(C203,customers!$A$1:$A$1001,customers!$C$1:$C$1001,,0),IF(_xlpm.val=0,"",_xlpm.val))</f>
        <v/>
      </c>
      <c r="H203" s="2" t="str">
        <f>_xlfn.LET(_xlpm.val,_xlfn.XLOOKUP(C203,customers!$A$1:$A$1001,customers!$G$1:$G$1001,,0),IF(_xlpm.val=0,"",_xlpm.val))</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cm="1">
        <f t="array" ref="N203">_xlfn.SWITCH(I203,"rob","Robusta","exc","Excelsa","Ara","Arabica","Lib","Liberica","")</f>
        <v>Liberica</v>
      </c>
      <c r="O203" t="str" cm="1">
        <f t="array" ref="O203">_xlfn.SWITCH(J203,"M","Medium","D","Dark","L","Light")</f>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_xlfn.LET(_xlpm.val,_xlfn.XLOOKUP(C204,customers!$A$1:$A$1001,customers!$C$1:$C$1001,,0),IF(_xlpm.val=0,"",_xlpm.val))</f>
        <v>tfelip5m@typepad.com</v>
      </c>
      <c r="H204" s="2" t="str">
        <f>_xlfn.LET(_xlpm.val,_xlfn.XLOOKUP(C204,customers!$A$1:$A$1001,customers!$G$1:$G$1001,,0),IF(_xlpm.val=0,"",_xlpm.val))</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cm="1">
        <f t="array" ref="N204">_xlfn.SWITCH(I204,"rob","Robusta","exc","Excelsa","Ara","Arabica","Lib","Liberica","")</f>
        <v>Liberica</v>
      </c>
      <c r="O204" t="str" cm="1">
        <f t="array" ref="O204">_xlfn.SWITCH(J204,"M","Medium","D","Dark","L","Light")</f>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_xlfn.LET(_xlpm.val,_xlfn.XLOOKUP(C205,customers!$A$1:$A$1001,customers!$C$1:$C$1001,,0),IF(_xlpm.val=0,"",_xlpm.val))</f>
        <v>vle5n@disqus.com</v>
      </c>
      <c r="H205" s="2" t="str">
        <f>_xlfn.LET(_xlpm.val,_xlfn.XLOOKUP(C205,customers!$A$1:$A$1001,customers!$G$1:$G$1001,,0),IF(_xlpm.val=0,"",_xlpm.val))</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cm="1">
        <f t="array" ref="N205">_xlfn.SWITCH(I205,"rob","Robusta","exc","Excelsa","Ara","Arabica","Lib","Liberica","")</f>
        <v>Liberica</v>
      </c>
      <c r="O205" t="str" cm="1">
        <f t="array" ref="O205">_xlfn.SWITCH(J205,"M","Medium","D","Dark","L","Light")</f>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_xlfn.LET(_xlpm.val,_xlfn.XLOOKUP(C206,customers!$A$1:$A$1001,customers!$C$1:$C$1001,,0),IF(_xlpm.val=0,"",_xlpm.val))</f>
        <v/>
      </c>
      <c r="H206" s="2" t="str">
        <f>_xlfn.LET(_xlpm.val,_xlfn.XLOOKUP(C206,customers!$A$1:$A$1001,customers!$G$1:$G$1001,,0),IF(_xlpm.val=0,"",_xlpm.val))</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cm="1">
        <f t="array" ref="N206">_xlfn.SWITCH(I206,"rob","Robusta","exc","Excelsa","Ara","Arabica","Lib","Liberica","")</f>
        <v>Excelsa</v>
      </c>
      <c r="O206" t="str" cm="1">
        <f t="array" ref="O206">_xlfn.SWITCH(J206,"M","Medium","D","Dark","L","Light")</f>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_xlfn.LET(_xlpm.val,_xlfn.XLOOKUP(C207,customers!$A$1:$A$1001,customers!$C$1:$C$1001,,0),IF(_xlpm.val=0,"",_xlpm.val))</f>
        <v/>
      </c>
      <c r="H207" s="2" t="str">
        <f>_xlfn.LET(_xlpm.val,_xlfn.XLOOKUP(C207,customers!$A$1:$A$1001,customers!$G$1:$G$1001,,0),IF(_xlpm.val=0,"",_xlpm.val))</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cm="1">
        <f t="array" ref="N207">_xlfn.SWITCH(I207,"rob","Robusta","exc","Excelsa","Ara","Arabica","Lib","Liberica","")</f>
        <v>Robusta</v>
      </c>
      <c r="O207" t="str" cm="1">
        <f t="array" ref="O207">_xlfn.SWITCH(J207,"M","Medium","D","Dark","L","Light")</f>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_xlfn.LET(_xlpm.val,_xlfn.XLOOKUP(C208,customers!$A$1:$A$1001,customers!$C$1:$C$1001,,0),IF(_xlpm.val=0,"",_xlpm.val))</f>
        <v>npoolman5q@howstuffworks.com</v>
      </c>
      <c r="H208" s="2" t="str">
        <f>_xlfn.LET(_xlpm.val,_xlfn.XLOOKUP(C208,customers!$A$1:$A$1001,customers!$G$1:$G$1001,,0),IF(_xlpm.val=0,"",_xlpm.val))</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cm="1">
        <f t="array" ref="N208">_xlfn.SWITCH(I208,"rob","Robusta","exc","Excelsa","Ara","Arabica","Lib","Liberica","")</f>
        <v>Arabica</v>
      </c>
      <c r="O208" t="str" cm="1">
        <f t="array" ref="O208">_xlfn.SWITCH(J208,"M","Medium","D","Dark","L","Light")</f>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_xlfn.LET(_xlpm.val,_xlfn.XLOOKUP(C209,customers!$A$1:$A$1001,customers!$C$1:$C$1001,,0),IF(_xlpm.val=0,"",_xlpm.val))</f>
        <v>oduny5r@constantcontact.com</v>
      </c>
      <c r="H209" s="2" t="str">
        <f>_xlfn.LET(_xlpm.val,_xlfn.XLOOKUP(C209,customers!$A$1:$A$1001,customers!$G$1:$G$1001,,0),IF(_xlpm.val=0,"",_xlpm.val))</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cm="1">
        <f t="array" ref="N209">_xlfn.SWITCH(I209,"rob","Robusta","exc","Excelsa","Ara","Arabica","Lib","Liberica","")</f>
        <v>Arabica</v>
      </c>
      <c r="O209" t="str" cm="1">
        <f t="array" ref="O209">_xlfn.SWITCH(J209,"M","Medium","D","Dark","L","Light")</f>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_xlfn.LET(_xlpm.val,_xlfn.XLOOKUP(C210,customers!$A$1:$A$1001,customers!$C$1:$C$1001,,0),IF(_xlpm.val=0,"",_xlpm.val))</f>
        <v>chalfhide5s@google.ru</v>
      </c>
      <c r="H210" s="2" t="str">
        <f>_xlfn.LET(_xlpm.val,_xlfn.XLOOKUP(C210,customers!$A$1:$A$1001,customers!$G$1:$G$1001,,0),IF(_xlpm.val=0,"",_xlpm.val))</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cm="1">
        <f t="array" ref="N210">_xlfn.SWITCH(I210,"rob","Robusta","exc","Excelsa","Ara","Arabica","Lib","Liberica","")</f>
        <v>Excelsa</v>
      </c>
      <c r="O210" t="str" cm="1">
        <f t="array" ref="O210">_xlfn.SWITCH(J210,"M","Medium","D","Dark","L","Light")</f>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_xlfn.LET(_xlpm.val,_xlfn.XLOOKUP(C211,customers!$A$1:$A$1001,customers!$C$1:$C$1001,,0),IF(_xlpm.val=0,"",_xlpm.val))</f>
        <v>fmalecky5t@list-manage.com</v>
      </c>
      <c r="H211" s="2" t="str">
        <f>_xlfn.LET(_xlpm.val,_xlfn.XLOOKUP(C211,customers!$A$1:$A$1001,customers!$G$1:$G$1001,,0),IF(_xlpm.val=0,"",_xlpm.val))</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cm="1">
        <f t="array" ref="N211">_xlfn.SWITCH(I211,"rob","Robusta","exc","Excelsa","Ara","Arabica","Lib","Liberica","")</f>
        <v>Arabica</v>
      </c>
      <c r="O211" t="str" cm="1">
        <f t="array" ref="O211">_xlfn.SWITCH(J211,"M","Medium","D","Dark","L","Light")</f>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_xlfn.LET(_xlpm.val,_xlfn.XLOOKUP(C212,customers!$A$1:$A$1001,customers!$C$1:$C$1001,,0),IF(_xlpm.val=0,"",_xlpm.val))</f>
        <v>aattwater5u@wikia.com</v>
      </c>
      <c r="H212" s="2" t="str">
        <f>_xlfn.LET(_xlpm.val,_xlfn.XLOOKUP(C212,customers!$A$1:$A$1001,customers!$G$1:$G$1001,,0),IF(_xlpm.val=0,"",_xlpm.val))</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cm="1">
        <f t="array" ref="N212">_xlfn.SWITCH(I212,"rob","Robusta","exc","Excelsa","Ara","Arabica","Lib","Liberica","")</f>
        <v>Liberica</v>
      </c>
      <c r="O212" t="str" cm="1">
        <f t="array" ref="O212">_xlfn.SWITCH(J212,"M","Medium","D","Dark","L","Light")</f>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_xlfn.LET(_xlpm.val,_xlfn.XLOOKUP(C213,customers!$A$1:$A$1001,customers!$C$1:$C$1001,,0),IF(_xlpm.val=0,"",_xlpm.val))</f>
        <v>mwhellans5v@mapquest.com</v>
      </c>
      <c r="H213" s="2" t="str">
        <f>_xlfn.LET(_xlpm.val,_xlfn.XLOOKUP(C213,customers!$A$1:$A$1001,customers!$G$1:$G$1001,,0),IF(_xlpm.val=0,"",_xlpm.val))</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cm="1">
        <f t="array" ref="N213">_xlfn.SWITCH(I213,"rob","Robusta","exc","Excelsa","Ara","Arabica","Lib","Liberica","")</f>
        <v>Excelsa</v>
      </c>
      <c r="O213" t="str" cm="1">
        <f t="array" ref="O213">_xlfn.SWITCH(J213,"M","Medium","D","Dark","L","Light")</f>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_xlfn.LET(_xlpm.val,_xlfn.XLOOKUP(C214,customers!$A$1:$A$1001,customers!$C$1:$C$1001,,0),IF(_xlpm.val=0,"",_xlpm.val))</f>
        <v>dcamilletti5w@businesswire.com</v>
      </c>
      <c r="H214" s="2" t="str">
        <f>_xlfn.LET(_xlpm.val,_xlfn.XLOOKUP(C214,customers!$A$1:$A$1001,customers!$G$1:$G$1001,,0),IF(_xlpm.val=0,"",_xlpm.val))</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cm="1">
        <f t="array" ref="N214">_xlfn.SWITCH(I214,"rob","Robusta","exc","Excelsa","Ara","Arabica","Lib","Liberica","")</f>
        <v>Excelsa</v>
      </c>
      <c r="O214" t="str" cm="1">
        <f t="array" ref="O214">_xlfn.SWITCH(J214,"M","Medium","D","Dark","L","Light")</f>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_xlfn.LET(_xlpm.val,_xlfn.XLOOKUP(C215,customers!$A$1:$A$1001,customers!$C$1:$C$1001,,0),IF(_xlpm.val=0,"",_xlpm.val))</f>
        <v>egalgey5x@wufoo.com</v>
      </c>
      <c r="H215" s="2" t="str">
        <f>_xlfn.LET(_xlpm.val,_xlfn.XLOOKUP(C215,customers!$A$1:$A$1001,customers!$G$1:$G$1001,,0),IF(_xlpm.val=0,"",_xlpm.val))</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cm="1">
        <f t="array" ref="N215">_xlfn.SWITCH(I215,"rob","Robusta","exc","Excelsa","Ara","Arabica","Lib","Liberica","")</f>
        <v>Robusta</v>
      </c>
      <c r="O215" t="str" cm="1">
        <f t="array" ref="O215">_xlfn.SWITCH(J215,"M","Medium","D","Dark","L","Light")</f>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_xlfn.LET(_xlpm.val,_xlfn.XLOOKUP(C216,customers!$A$1:$A$1001,customers!$C$1:$C$1001,,0),IF(_xlpm.val=0,"",_xlpm.val))</f>
        <v>mhame5y@newsvine.com</v>
      </c>
      <c r="H216" s="2" t="str">
        <f>_xlfn.LET(_xlpm.val,_xlfn.XLOOKUP(C216,customers!$A$1:$A$1001,customers!$G$1:$G$1001,,0),IF(_xlpm.val=0,"",_xlpm.val))</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cm="1">
        <f t="array" ref="N216">_xlfn.SWITCH(I216,"rob","Robusta","exc","Excelsa","Ara","Arabica","Lib","Liberica","")</f>
        <v>Liberica</v>
      </c>
      <c r="O216" t="str" cm="1">
        <f t="array" ref="O216">_xlfn.SWITCH(J216,"M","Medium","D","Dark","L","Light")</f>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_xlfn.LET(_xlpm.val,_xlfn.XLOOKUP(C217,customers!$A$1:$A$1001,customers!$C$1:$C$1001,,0),IF(_xlpm.val=0,"",_xlpm.val))</f>
        <v>igurnee5z@usnews.com</v>
      </c>
      <c r="H217" s="2" t="str">
        <f>_xlfn.LET(_xlpm.val,_xlfn.XLOOKUP(C217,customers!$A$1:$A$1001,customers!$G$1:$G$1001,,0),IF(_xlpm.val=0,"",_xlpm.val))</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cm="1">
        <f t="array" ref="N217">_xlfn.SWITCH(I217,"rob","Robusta","exc","Excelsa","Ara","Arabica","Lib","Liberica","")</f>
        <v>Liberica</v>
      </c>
      <c r="O217" t="str" cm="1">
        <f t="array" ref="O217">_xlfn.SWITCH(J217,"M","Medium","D","Dark","L","Light")</f>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_xlfn.LET(_xlpm.val,_xlfn.XLOOKUP(C218,customers!$A$1:$A$1001,customers!$C$1:$C$1001,,0),IF(_xlpm.val=0,"",_xlpm.val))</f>
        <v>asnowding60@comsenz.com</v>
      </c>
      <c r="H218" s="2" t="str">
        <f>_xlfn.LET(_xlpm.val,_xlfn.XLOOKUP(C218,customers!$A$1:$A$1001,customers!$G$1:$G$1001,,0),IF(_xlpm.val=0,"",_xlpm.val))</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cm="1">
        <f t="array" ref="N218">_xlfn.SWITCH(I218,"rob","Robusta","exc","Excelsa","Ara","Arabica","Lib","Liberica","")</f>
        <v>Liberica</v>
      </c>
      <c r="O218" t="str" cm="1">
        <f t="array" ref="O218">_xlfn.SWITCH(J218,"M","Medium","D","Dark","L","Light")</f>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_xlfn.LET(_xlpm.val,_xlfn.XLOOKUP(C219,customers!$A$1:$A$1001,customers!$C$1:$C$1001,,0),IF(_xlpm.val=0,"",_xlpm.val))</f>
        <v>gpoinsett61@berkeley.edu</v>
      </c>
      <c r="H219" s="2" t="str">
        <f>_xlfn.LET(_xlpm.val,_xlfn.XLOOKUP(C219,customers!$A$1:$A$1001,customers!$G$1:$G$1001,,0),IF(_xlpm.val=0,"",_xlpm.val))</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cm="1">
        <f t="array" ref="N219">_xlfn.SWITCH(I219,"rob","Robusta","exc","Excelsa","Ara","Arabica","Lib","Liberica","")</f>
        <v>Excelsa</v>
      </c>
      <c r="O219" t="str" cm="1">
        <f t="array" ref="O219">_xlfn.SWITCH(J219,"M","Medium","D","Dark","L","Light")</f>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_xlfn.LET(_xlpm.val,_xlfn.XLOOKUP(C220,customers!$A$1:$A$1001,customers!$C$1:$C$1001,,0),IF(_xlpm.val=0,"",_xlpm.val))</f>
        <v>rfurman62@t.co</v>
      </c>
      <c r="H220" s="2" t="str">
        <f>_xlfn.LET(_xlpm.val,_xlfn.XLOOKUP(C220,customers!$A$1:$A$1001,customers!$G$1:$G$1001,,0),IF(_xlpm.val=0,"",_xlpm.val))</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cm="1">
        <f t="array" ref="N220">_xlfn.SWITCH(I220,"rob","Robusta","exc","Excelsa","Ara","Arabica","Lib","Liberica","")</f>
        <v>Arabica</v>
      </c>
      <c r="O220" t="str" cm="1">
        <f t="array" ref="O220">_xlfn.SWITCH(J220,"M","Medium","D","Dark","L","Light")</f>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_xlfn.LET(_xlpm.val,_xlfn.XLOOKUP(C221,customers!$A$1:$A$1001,customers!$C$1:$C$1001,,0),IF(_xlpm.val=0,"",_xlpm.val))</f>
        <v>ccrosier63@xrea.com</v>
      </c>
      <c r="H221" s="2" t="str">
        <f>_xlfn.LET(_xlpm.val,_xlfn.XLOOKUP(C221,customers!$A$1:$A$1001,customers!$G$1:$G$1001,,0),IF(_xlpm.val=0,"",_xlpm.val))</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cm="1">
        <f t="array" ref="N221">_xlfn.SWITCH(I221,"rob","Robusta","exc","Excelsa","Ara","Arabica","Lib","Liberica","")</f>
        <v>Robusta</v>
      </c>
      <c r="O221" t="str" cm="1">
        <f t="array" ref="O221">_xlfn.SWITCH(J221,"M","Medium","D","Dark","L","Light")</f>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_xlfn.LET(_xlpm.val,_xlfn.XLOOKUP(C222,customers!$A$1:$A$1001,customers!$C$1:$C$1001,,0),IF(_xlpm.val=0,"",_xlpm.val))</f>
        <v>ccrosier63@xrea.com</v>
      </c>
      <c r="H222" s="2" t="str">
        <f>_xlfn.LET(_xlpm.val,_xlfn.XLOOKUP(C222,customers!$A$1:$A$1001,customers!$G$1:$G$1001,,0),IF(_xlpm.val=0,"",_xlpm.val))</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cm="1">
        <f t="array" ref="N222">_xlfn.SWITCH(I222,"rob","Robusta","exc","Excelsa","Ara","Arabica","Lib","Liberica","")</f>
        <v>Robusta</v>
      </c>
      <c r="O222" t="str" cm="1">
        <f t="array" ref="O222">_xlfn.SWITCH(J222,"M","Medium","D","Dark","L","Light")</f>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_xlfn.LET(_xlpm.val,_xlfn.XLOOKUP(C223,customers!$A$1:$A$1001,customers!$C$1:$C$1001,,0),IF(_xlpm.val=0,"",_xlpm.val))</f>
        <v>lrushmer65@europa.eu</v>
      </c>
      <c r="H223" s="2" t="str">
        <f>_xlfn.LET(_xlpm.val,_xlfn.XLOOKUP(C223,customers!$A$1:$A$1001,customers!$G$1:$G$1001,,0),IF(_xlpm.val=0,"",_xlpm.val))</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cm="1">
        <f t="array" ref="N223">_xlfn.SWITCH(I223,"rob","Robusta","exc","Excelsa","Ara","Arabica","Lib","Liberica","")</f>
        <v>Arabica</v>
      </c>
      <c r="O223" t="str" cm="1">
        <f t="array" ref="O223">_xlfn.SWITCH(J223,"M","Medium","D","Dark","L","Light")</f>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_xlfn.LET(_xlpm.val,_xlfn.XLOOKUP(C224,customers!$A$1:$A$1001,customers!$C$1:$C$1001,,0),IF(_xlpm.val=0,"",_xlpm.val))</f>
        <v>wedinborough66@github.io</v>
      </c>
      <c r="H224" s="2" t="str">
        <f>_xlfn.LET(_xlpm.val,_xlfn.XLOOKUP(C224,customers!$A$1:$A$1001,customers!$G$1:$G$1001,,0),IF(_xlpm.val=0,"",_xlpm.val))</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cm="1">
        <f t="array" ref="N224">_xlfn.SWITCH(I224,"rob","Robusta","exc","Excelsa","Ara","Arabica","Lib","Liberica","")</f>
        <v>Liberica</v>
      </c>
      <c r="O224" t="str" cm="1">
        <f t="array" ref="O224">_xlfn.SWITCH(J224,"M","Medium","D","Dark","L","Light")</f>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_xlfn.LET(_xlpm.val,_xlfn.XLOOKUP(C225,customers!$A$1:$A$1001,customers!$C$1:$C$1001,,0),IF(_xlpm.val=0,"",_xlpm.val))</f>
        <v/>
      </c>
      <c r="H225" s="2" t="str">
        <f>_xlfn.LET(_xlpm.val,_xlfn.XLOOKUP(C225,customers!$A$1:$A$1001,customers!$G$1:$G$1001,,0),IF(_xlpm.val=0,"",_xlpm.val))</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cm="1">
        <f t="array" ref="N225">_xlfn.SWITCH(I225,"rob","Robusta","exc","Excelsa","Ara","Arabica","Lib","Liberica","")</f>
        <v>Excelsa</v>
      </c>
      <c r="O225" t="str" cm="1">
        <f t="array" ref="O225">_xlfn.SWITCH(J225,"M","Medium","D","Dark","L","Light")</f>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_xlfn.LET(_xlpm.val,_xlfn.XLOOKUP(C226,customers!$A$1:$A$1001,customers!$C$1:$C$1001,,0),IF(_xlpm.val=0,"",_xlpm.val))</f>
        <v>kbromehead68@un.org</v>
      </c>
      <c r="H226" s="2" t="str">
        <f>_xlfn.LET(_xlpm.val,_xlfn.XLOOKUP(C226,customers!$A$1:$A$1001,customers!$G$1:$G$1001,,0),IF(_xlpm.val=0,"",_xlpm.val))</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cm="1">
        <f t="array" ref="N226">_xlfn.SWITCH(I226,"rob","Robusta","exc","Excelsa","Ara","Arabica","Lib","Liberica","")</f>
        <v>Liberica</v>
      </c>
      <c r="O226" t="str" cm="1">
        <f t="array" ref="O226">_xlfn.SWITCH(J226,"M","Medium","D","Dark","L","Light")</f>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_xlfn.LET(_xlpm.val,_xlfn.XLOOKUP(C227,customers!$A$1:$A$1001,customers!$C$1:$C$1001,,0),IF(_xlpm.val=0,"",_xlpm.val))</f>
        <v>ewesterman69@si.edu</v>
      </c>
      <c r="H227" s="2" t="str">
        <f>_xlfn.LET(_xlpm.val,_xlfn.XLOOKUP(C227,customers!$A$1:$A$1001,customers!$G$1:$G$1001,,0),IF(_xlpm.val=0,"",_xlpm.val))</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cm="1">
        <f t="array" ref="N227">_xlfn.SWITCH(I227,"rob","Robusta","exc","Excelsa","Ara","Arabica","Lib","Liberica","")</f>
        <v>Robusta</v>
      </c>
      <c r="O227" t="str" cm="1">
        <f t="array" ref="O227">_xlfn.SWITCH(J227,"M","Medium","D","Dark","L","Light")</f>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_xlfn.LET(_xlpm.val,_xlfn.XLOOKUP(C228,customers!$A$1:$A$1001,customers!$C$1:$C$1001,,0),IF(_xlpm.val=0,"",_xlpm.val))</f>
        <v>ahutchens6a@amazonaws.com</v>
      </c>
      <c r="H228" s="2" t="str">
        <f>_xlfn.LET(_xlpm.val,_xlfn.XLOOKUP(C228,customers!$A$1:$A$1001,customers!$G$1:$G$1001,,0),IF(_xlpm.val=0,"",_xlpm.val))</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cm="1">
        <f t="array" ref="N228">_xlfn.SWITCH(I228,"rob","Robusta","exc","Excelsa","Ara","Arabica","Lib","Liberica","")</f>
        <v>Arabica</v>
      </c>
      <c r="O228" t="str" cm="1">
        <f t="array" ref="O228">_xlfn.SWITCH(J228,"M","Medium","D","Dark","L","Light")</f>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_xlfn.LET(_xlpm.val,_xlfn.XLOOKUP(C229,customers!$A$1:$A$1001,customers!$C$1:$C$1001,,0),IF(_xlpm.val=0,"",_xlpm.val))</f>
        <v>nwyvill6b@naver.com</v>
      </c>
      <c r="H229" s="2" t="str">
        <f>_xlfn.LET(_xlpm.val,_xlfn.XLOOKUP(C229,customers!$A$1:$A$1001,customers!$G$1:$G$1001,,0),IF(_xlpm.val=0,"",_xlpm.val))</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cm="1">
        <f t="array" ref="N229">_xlfn.SWITCH(I229,"rob","Robusta","exc","Excelsa","Ara","Arabica","Lib","Liberica","")</f>
        <v>Robusta</v>
      </c>
      <c r="O229" t="str" cm="1">
        <f t="array" ref="O229">_xlfn.SWITCH(J229,"M","Medium","D","Dark","L","Light")</f>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_xlfn.LET(_xlpm.val,_xlfn.XLOOKUP(C230,customers!$A$1:$A$1001,customers!$C$1:$C$1001,,0),IF(_xlpm.val=0,"",_xlpm.val))</f>
        <v>bmathon6c@barnesandnoble.com</v>
      </c>
      <c r="H230" s="2" t="str">
        <f>_xlfn.LET(_xlpm.val,_xlfn.XLOOKUP(C230,customers!$A$1:$A$1001,customers!$G$1:$G$1001,,0),IF(_xlpm.val=0,"",_xlpm.val))</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cm="1">
        <f t="array" ref="N230">_xlfn.SWITCH(I230,"rob","Robusta","exc","Excelsa","Ara","Arabica","Lib","Liberica","")</f>
        <v>Robusta</v>
      </c>
      <c r="O230" t="str" cm="1">
        <f t="array" ref="O230">_xlfn.SWITCH(J230,"M","Medium","D","Dark","L","Light")</f>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_xlfn.LET(_xlpm.val,_xlfn.XLOOKUP(C231,customers!$A$1:$A$1001,customers!$C$1:$C$1001,,0),IF(_xlpm.val=0,"",_xlpm.val))</f>
        <v>kstreight6d@about.com</v>
      </c>
      <c r="H231" s="2" t="str">
        <f>_xlfn.LET(_xlpm.val,_xlfn.XLOOKUP(C231,customers!$A$1:$A$1001,customers!$G$1:$G$1001,,0),IF(_xlpm.val=0,"",_xlpm.val))</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cm="1">
        <f t="array" ref="N231">_xlfn.SWITCH(I231,"rob","Robusta","exc","Excelsa","Ara","Arabica","Lib","Liberica","")</f>
        <v>Liberica</v>
      </c>
      <c r="O231" t="str" cm="1">
        <f t="array" ref="O231">_xlfn.SWITCH(J231,"M","Medium","D","Dark","L","Light")</f>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_xlfn.LET(_xlpm.val,_xlfn.XLOOKUP(C232,customers!$A$1:$A$1001,customers!$C$1:$C$1001,,0),IF(_xlpm.val=0,"",_xlpm.val))</f>
        <v>pcutchie6e@globo.com</v>
      </c>
      <c r="H232" s="2" t="str">
        <f>_xlfn.LET(_xlpm.val,_xlfn.XLOOKUP(C232,customers!$A$1:$A$1001,customers!$G$1:$G$1001,,0),IF(_xlpm.val=0,"",_xlpm.val))</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cm="1">
        <f t="array" ref="N232">_xlfn.SWITCH(I232,"rob","Robusta","exc","Excelsa","Ara","Arabica","Lib","Liberica","")</f>
        <v>Arabica</v>
      </c>
      <c r="O232" t="str" cm="1">
        <f t="array" ref="O232">_xlfn.SWITCH(J232,"M","Medium","D","Dark","L","Light")</f>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_xlfn.LET(_xlpm.val,_xlfn.XLOOKUP(C233,customers!$A$1:$A$1001,customers!$C$1:$C$1001,,0),IF(_xlpm.val=0,"",_xlpm.val))</f>
        <v/>
      </c>
      <c r="H233" s="2" t="str">
        <f>_xlfn.LET(_xlpm.val,_xlfn.XLOOKUP(C233,customers!$A$1:$A$1001,customers!$G$1:$G$1001,,0),IF(_xlpm.val=0,"",_xlpm.val))</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cm="1">
        <f t="array" ref="N233">_xlfn.SWITCH(I233,"rob","Robusta","exc","Excelsa","Ara","Arabica","Lib","Liberica","")</f>
        <v>Liberica</v>
      </c>
      <c r="O233" t="str" cm="1">
        <f t="array" ref="O233">_xlfn.SWITCH(J233,"M","Medium","D","Dark","L","Light")</f>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_xlfn.LET(_xlpm.val,_xlfn.XLOOKUP(C234,customers!$A$1:$A$1001,customers!$C$1:$C$1001,,0),IF(_xlpm.val=0,"",_xlpm.val))</f>
        <v>cgheraldi6g@opera.com</v>
      </c>
      <c r="H234" s="2" t="str">
        <f>_xlfn.LET(_xlpm.val,_xlfn.XLOOKUP(C234,customers!$A$1:$A$1001,customers!$G$1:$G$1001,,0),IF(_xlpm.val=0,"",_xlpm.val))</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cm="1">
        <f t="array" ref="N234">_xlfn.SWITCH(I234,"rob","Robusta","exc","Excelsa","Ara","Arabica","Lib","Liberica","")</f>
        <v>Liberica</v>
      </c>
      <c r="O234" t="str" cm="1">
        <f t="array" ref="O234">_xlfn.SWITCH(J234,"M","Medium","D","Dark","L","Light")</f>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_xlfn.LET(_xlpm.val,_xlfn.XLOOKUP(C235,customers!$A$1:$A$1001,customers!$C$1:$C$1001,,0),IF(_xlpm.val=0,"",_xlpm.val))</f>
        <v>bkenwell6h@over-blog.com</v>
      </c>
      <c r="H235" s="2" t="str">
        <f>_xlfn.LET(_xlpm.val,_xlfn.XLOOKUP(C235,customers!$A$1:$A$1001,customers!$G$1:$G$1001,,0),IF(_xlpm.val=0,"",_xlpm.val))</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cm="1">
        <f t="array" ref="N235">_xlfn.SWITCH(I235,"rob","Robusta","exc","Excelsa","Ara","Arabica","Lib","Liberica","")</f>
        <v>Excelsa</v>
      </c>
      <c r="O235" t="str" cm="1">
        <f t="array" ref="O235">_xlfn.SWITCH(J235,"M","Medium","D","Dark","L","Light")</f>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_xlfn.LET(_xlpm.val,_xlfn.XLOOKUP(C236,customers!$A$1:$A$1001,customers!$C$1:$C$1001,,0),IF(_xlpm.val=0,"",_xlpm.val))</f>
        <v>tsutty6i@google.es</v>
      </c>
      <c r="H236" s="2" t="str">
        <f>_xlfn.LET(_xlpm.val,_xlfn.XLOOKUP(C236,customers!$A$1:$A$1001,customers!$G$1:$G$1001,,0),IF(_xlpm.val=0,"",_xlpm.val))</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cm="1">
        <f t="array" ref="N236">_xlfn.SWITCH(I236,"rob","Robusta","exc","Excelsa","Ara","Arabica","Lib","Liberica","")</f>
        <v>Liberica</v>
      </c>
      <c r="O236" t="str" cm="1">
        <f t="array" ref="O236">_xlfn.SWITCH(J236,"M","Medium","D","Dark","L","Light")</f>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_xlfn.LET(_xlpm.val,_xlfn.XLOOKUP(C237,customers!$A$1:$A$1001,customers!$C$1:$C$1001,,0),IF(_xlpm.val=0,"",_xlpm.val))</f>
        <v/>
      </c>
      <c r="H237" s="2" t="str">
        <f>_xlfn.LET(_xlpm.val,_xlfn.XLOOKUP(C237,customers!$A$1:$A$1001,customers!$G$1:$G$1001,,0),IF(_xlpm.val=0,"",_xlpm.val))</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cm="1">
        <f t="array" ref="N237">_xlfn.SWITCH(I237,"rob","Robusta","exc","Excelsa","Ara","Arabica","Lib","Liberica","")</f>
        <v>Liberica</v>
      </c>
      <c r="O237" t="str" cm="1">
        <f t="array" ref="O237">_xlfn.SWITCH(J237,"M","Medium","D","Dark","L","Light")</f>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_xlfn.LET(_xlpm.val,_xlfn.XLOOKUP(C238,customers!$A$1:$A$1001,customers!$C$1:$C$1001,,0),IF(_xlpm.val=0,"",_xlpm.val))</f>
        <v>charce6k@cafepress.com</v>
      </c>
      <c r="H238" s="2" t="str">
        <f>_xlfn.LET(_xlpm.val,_xlfn.XLOOKUP(C238,customers!$A$1:$A$1001,customers!$G$1:$G$1001,,0),IF(_xlpm.val=0,"",_xlpm.val))</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cm="1">
        <f t="array" ref="N238">_xlfn.SWITCH(I238,"rob","Robusta","exc","Excelsa","Ara","Arabica","Lib","Liberica","")</f>
        <v>Liberica</v>
      </c>
      <c r="O238" t="str" cm="1">
        <f t="array" ref="O238">_xlfn.SWITCH(J238,"M","Medium","D","Dark","L","Light")</f>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_xlfn.LET(_xlpm.val,_xlfn.XLOOKUP(C239,customers!$A$1:$A$1001,customers!$C$1:$C$1001,,0),IF(_xlpm.val=0,"",_xlpm.val))</f>
        <v/>
      </c>
      <c r="H239" s="2" t="str">
        <f>_xlfn.LET(_xlpm.val,_xlfn.XLOOKUP(C239,customers!$A$1:$A$1001,customers!$G$1:$G$1001,,0),IF(_xlpm.val=0,"",_xlpm.val))</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cm="1">
        <f t="array" ref="N239">_xlfn.SWITCH(I239,"rob","Robusta","exc","Excelsa","Ara","Arabica","Lib","Liberica","")</f>
        <v>Robusta</v>
      </c>
      <c r="O239" t="str" cm="1">
        <f t="array" ref="O239">_xlfn.SWITCH(J239,"M","Medium","D","Dark","L","Light")</f>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_xlfn.LET(_xlpm.val,_xlfn.XLOOKUP(C240,customers!$A$1:$A$1001,customers!$C$1:$C$1001,,0),IF(_xlpm.val=0,"",_xlpm.val))</f>
        <v>fdrysdale6m@symantec.com</v>
      </c>
      <c r="H240" s="2" t="str">
        <f>_xlfn.LET(_xlpm.val,_xlfn.XLOOKUP(C240,customers!$A$1:$A$1001,customers!$G$1:$G$1001,,0),IF(_xlpm.val=0,"",_xlpm.val))</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cm="1">
        <f t="array" ref="N240">_xlfn.SWITCH(I240,"rob","Robusta","exc","Excelsa","Ara","Arabica","Lib","Liberica","")</f>
        <v>Robusta</v>
      </c>
      <c r="O240" t="str" cm="1">
        <f t="array" ref="O240">_xlfn.SWITCH(J240,"M","Medium","D","Dark","L","Light")</f>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_xlfn.LET(_xlpm.val,_xlfn.XLOOKUP(C241,customers!$A$1:$A$1001,customers!$C$1:$C$1001,,0),IF(_xlpm.val=0,"",_xlpm.val))</f>
        <v>dmagowan6n@fc2.com</v>
      </c>
      <c r="H241" s="2" t="str">
        <f>_xlfn.LET(_xlpm.val,_xlfn.XLOOKUP(C241,customers!$A$1:$A$1001,customers!$G$1:$G$1001,,0),IF(_xlpm.val=0,"",_xlpm.val))</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cm="1">
        <f t="array" ref="N241">_xlfn.SWITCH(I241,"rob","Robusta","exc","Excelsa","Ara","Arabica","Lib","Liberica","")</f>
        <v>Excelsa</v>
      </c>
      <c r="O241" t="str" cm="1">
        <f t="array" ref="O241">_xlfn.SWITCH(J241,"M","Medium","D","Dark","L","Light")</f>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_xlfn.LET(_xlpm.val,_xlfn.XLOOKUP(C242,customers!$A$1:$A$1001,customers!$C$1:$C$1001,,0),IF(_xlpm.val=0,"",_xlpm.val))</f>
        <v/>
      </c>
      <c r="H242" s="2" t="str">
        <f>_xlfn.LET(_xlpm.val,_xlfn.XLOOKUP(C242,customers!$A$1:$A$1001,customers!$G$1:$G$1001,,0),IF(_xlpm.val=0,"",_xlpm.val))</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cm="1">
        <f t="array" ref="N242">_xlfn.SWITCH(I242,"rob","Robusta","exc","Excelsa","Ara","Arabica","Lib","Liberica","")</f>
        <v>Arabica</v>
      </c>
      <c r="O242" t="str" cm="1">
        <f t="array" ref="O242">_xlfn.SWITCH(J242,"M","Medium","D","Dark","L","Light")</f>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_xlfn.LET(_xlpm.val,_xlfn.XLOOKUP(C243,customers!$A$1:$A$1001,customers!$C$1:$C$1001,,0),IF(_xlpm.val=0,"",_xlpm.val))</f>
        <v/>
      </c>
      <c r="H243" s="2" t="str">
        <f>_xlfn.LET(_xlpm.val,_xlfn.XLOOKUP(C243,customers!$A$1:$A$1001,customers!$G$1:$G$1001,,0),IF(_xlpm.val=0,"",_xlpm.val))</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cm="1">
        <f t="array" ref="N243">_xlfn.SWITCH(I243,"rob","Robusta","exc","Excelsa","Ara","Arabica","Lib","Liberica","")</f>
        <v>Robusta</v>
      </c>
      <c r="O243" t="str" cm="1">
        <f t="array" ref="O243">_xlfn.SWITCH(J243,"M","Medium","D","Dark","L","Light")</f>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_xlfn.LET(_xlpm.val,_xlfn.XLOOKUP(C244,customers!$A$1:$A$1001,customers!$C$1:$C$1001,,0),IF(_xlpm.val=0,"",_xlpm.val))</f>
        <v>srushbrooke6q@youku.com</v>
      </c>
      <c r="H244" s="2" t="str">
        <f>_xlfn.LET(_xlpm.val,_xlfn.XLOOKUP(C244,customers!$A$1:$A$1001,customers!$G$1:$G$1001,,0),IF(_xlpm.val=0,"",_xlpm.val))</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cm="1">
        <f t="array" ref="N244">_xlfn.SWITCH(I244,"rob","Robusta","exc","Excelsa","Ara","Arabica","Lib","Liberica","")</f>
        <v>Excelsa</v>
      </c>
      <c r="O244" t="str" cm="1">
        <f t="array" ref="O244">_xlfn.SWITCH(J244,"M","Medium","D","Dark","L","Light")</f>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_xlfn.LET(_xlpm.val,_xlfn.XLOOKUP(C245,customers!$A$1:$A$1001,customers!$C$1:$C$1001,,0),IF(_xlpm.val=0,"",_xlpm.val))</f>
        <v>tdrynan6r@deviantart.com</v>
      </c>
      <c r="H245" s="2" t="str">
        <f>_xlfn.LET(_xlpm.val,_xlfn.XLOOKUP(C245,customers!$A$1:$A$1001,customers!$G$1:$G$1001,,0),IF(_xlpm.val=0,"",_xlpm.val))</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cm="1">
        <f t="array" ref="N245">_xlfn.SWITCH(I245,"rob","Robusta","exc","Excelsa","Ara","Arabica","Lib","Liberica","")</f>
        <v>Excelsa</v>
      </c>
      <c r="O245" t="str" cm="1">
        <f t="array" ref="O245">_xlfn.SWITCH(J245,"M","Medium","D","Dark","L","Light")</f>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_xlfn.LET(_xlpm.val,_xlfn.XLOOKUP(C246,customers!$A$1:$A$1001,customers!$C$1:$C$1001,,0),IF(_xlpm.val=0,"",_xlpm.val))</f>
        <v>eyurkov6s@hud.gov</v>
      </c>
      <c r="H246" s="2" t="str">
        <f>_xlfn.LET(_xlpm.val,_xlfn.XLOOKUP(C246,customers!$A$1:$A$1001,customers!$G$1:$G$1001,,0),IF(_xlpm.val=0,"",_xlpm.val))</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cm="1">
        <f t="array" ref="N246">_xlfn.SWITCH(I246,"rob","Robusta","exc","Excelsa","Ara","Arabica","Lib","Liberica","")</f>
        <v>Liberica</v>
      </c>
      <c r="O246" t="str" cm="1">
        <f t="array" ref="O246">_xlfn.SWITCH(J246,"M","Medium","D","Dark","L","Light")</f>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_xlfn.LET(_xlpm.val,_xlfn.XLOOKUP(C247,customers!$A$1:$A$1001,customers!$C$1:$C$1001,,0),IF(_xlpm.val=0,"",_xlpm.val))</f>
        <v>lmallan6t@state.gov</v>
      </c>
      <c r="H247" s="2" t="str">
        <f>_xlfn.LET(_xlpm.val,_xlfn.XLOOKUP(C247,customers!$A$1:$A$1001,customers!$G$1:$G$1001,,0),IF(_xlpm.val=0,"",_xlpm.val))</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cm="1">
        <f t="array" ref="N247">_xlfn.SWITCH(I247,"rob","Robusta","exc","Excelsa","Ara","Arabica","Lib","Liberica","")</f>
        <v>Liberica</v>
      </c>
      <c r="O247" t="str" cm="1">
        <f t="array" ref="O247">_xlfn.SWITCH(J247,"M","Medium","D","Dark","L","Light")</f>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_xlfn.LET(_xlpm.val,_xlfn.XLOOKUP(C248,customers!$A$1:$A$1001,customers!$C$1:$C$1001,,0),IF(_xlpm.val=0,"",_xlpm.val))</f>
        <v>gbentjens6u@netlog.com</v>
      </c>
      <c r="H248" s="2" t="str">
        <f>_xlfn.LET(_xlpm.val,_xlfn.XLOOKUP(C248,customers!$A$1:$A$1001,customers!$G$1:$G$1001,,0),IF(_xlpm.val=0,"",_xlpm.val))</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cm="1">
        <f t="array" ref="N248">_xlfn.SWITCH(I248,"rob","Robusta","exc","Excelsa","Ara","Arabica","Lib","Liberica","")</f>
        <v>Liberica</v>
      </c>
      <c r="O248" t="str" cm="1">
        <f t="array" ref="O248">_xlfn.SWITCH(J248,"M","Medium","D","Dark","L","Light")</f>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_xlfn.LET(_xlpm.val,_xlfn.XLOOKUP(C249,customers!$A$1:$A$1001,customers!$C$1:$C$1001,,0),IF(_xlpm.val=0,"",_xlpm.val))</f>
        <v/>
      </c>
      <c r="H249" s="2" t="str">
        <f>_xlfn.LET(_xlpm.val,_xlfn.XLOOKUP(C249,customers!$A$1:$A$1001,customers!$G$1:$G$1001,,0),IF(_xlpm.val=0,"",_xlpm.val))</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cm="1">
        <f t="array" ref="N249">_xlfn.SWITCH(I249,"rob","Robusta","exc","Excelsa","Ara","Arabica","Lib","Liberica","")</f>
        <v>Robusta</v>
      </c>
      <c r="O249" t="str" cm="1">
        <f t="array" ref="O249">_xlfn.SWITCH(J249,"M","Medium","D","Dark","L","Light")</f>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_xlfn.LET(_xlpm.val,_xlfn.XLOOKUP(C250,customers!$A$1:$A$1001,customers!$C$1:$C$1001,,0),IF(_xlpm.val=0,"",_xlpm.val))</f>
        <v>lentwistle6w@omniture.com</v>
      </c>
      <c r="H250" s="2" t="str">
        <f>_xlfn.LET(_xlpm.val,_xlfn.XLOOKUP(C250,customers!$A$1:$A$1001,customers!$G$1:$G$1001,,0),IF(_xlpm.val=0,"",_xlpm.val))</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cm="1">
        <f t="array" ref="N250">_xlfn.SWITCH(I250,"rob","Robusta","exc","Excelsa","Ara","Arabica","Lib","Liberica","")</f>
        <v>Arabica</v>
      </c>
      <c r="O250" t="str" cm="1">
        <f t="array" ref="O250">_xlfn.SWITCH(J250,"M","Medium","D","Dark","L","Light")</f>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_xlfn.LET(_xlpm.val,_xlfn.XLOOKUP(C251,customers!$A$1:$A$1001,customers!$C$1:$C$1001,,0),IF(_xlpm.val=0,"",_xlpm.val))</f>
        <v>zkiffe74@cyberchimps.com</v>
      </c>
      <c r="H251" s="2" t="str">
        <f>_xlfn.LET(_xlpm.val,_xlfn.XLOOKUP(C251,customers!$A$1:$A$1001,customers!$G$1:$G$1001,,0),IF(_xlpm.val=0,"",_xlpm.val))</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cm="1">
        <f t="array" ref="N251">_xlfn.SWITCH(I251,"rob","Robusta","exc","Excelsa","Ara","Arabica","Lib","Liberica","")</f>
        <v>Liberica</v>
      </c>
      <c r="O251" t="str" cm="1">
        <f t="array" ref="O251">_xlfn.SWITCH(J251,"M","Medium","D","Dark","L","Light")</f>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_xlfn.LET(_xlpm.val,_xlfn.XLOOKUP(C252,customers!$A$1:$A$1001,customers!$C$1:$C$1001,,0),IF(_xlpm.val=0,"",_xlpm.val))</f>
        <v>macott6y@pagesperso-orange.fr</v>
      </c>
      <c r="H252" s="2" t="str">
        <f>_xlfn.LET(_xlpm.val,_xlfn.XLOOKUP(C252,customers!$A$1:$A$1001,customers!$G$1:$G$1001,,0),IF(_xlpm.val=0,"",_xlpm.val))</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cm="1">
        <f t="array" ref="N252">_xlfn.SWITCH(I252,"rob","Robusta","exc","Excelsa","Ara","Arabica","Lib","Liberica","")</f>
        <v>Robusta</v>
      </c>
      <c r="O252" t="str" cm="1">
        <f t="array" ref="O252">_xlfn.SWITCH(J252,"M","Medium","D","Dark","L","Light")</f>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_xlfn.LET(_xlpm.val,_xlfn.XLOOKUP(C253,customers!$A$1:$A$1001,customers!$C$1:$C$1001,,0),IF(_xlpm.val=0,"",_xlpm.val))</f>
        <v>cheaviside6z@rediff.com</v>
      </c>
      <c r="H253" s="2" t="str">
        <f>_xlfn.LET(_xlpm.val,_xlfn.XLOOKUP(C253,customers!$A$1:$A$1001,customers!$G$1:$G$1001,,0),IF(_xlpm.val=0,"",_xlpm.val))</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cm="1">
        <f t="array" ref="N253">_xlfn.SWITCH(I253,"rob","Robusta","exc","Excelsa","Ara","Arabica","Lib","Liberica","")</f>
        <v>Excelsa</v>
      </c>
      <c r="O253" t="str" cm="1">
        <f t="array" ref="O253">_xlfn.SWITCH(J253,"M","Medium","D","Dark","L","Light")</f>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_xlfn.LET(_xlpm.val,_xlfn.XLOOKUP(C254,customers!$A$1:$A$1001,customers!$C$1:$C$1001,,0),IF(_xlpm.val=0,"",_xlpm.val))</f>
        <v/>
      </c>
      <c r="H254" s="2" t="str">
        <f>_xlfn.LET(_xlpm.val,_xlfn.XLOOKUP(C254,customers!$A$1:$A$1001,customers!$G$1:$G$1001,,0),IF(_xlpm.val=0,"",_xlpm.val))</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cm="1">
        <f t="array" ref="N254">_xlfn.SWITCH(I254,"rob","Robusta","exc","Excelsa","Ara","Arabica","Lib","Liberica","")</f>
        <v>Arabica</v>
      </c>
      <c r="O254" t="str" cm="1">
        <f t="array" ref="O254">_xlfn.SWITCH(J254,"M","Medium","D","Dark","L","Light")</f>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_xlfn.LET(_xlpm.val,_xlfn.XLOOKUP(C255,customers!$A$1:$A$1001,customers!$C$1:$C$1001,,0),IF(_xlpm.val=0,"",_xlpm.val))</f>
        <v>lkernan71@wsj.com</v>
      </c>
      <c r="H255" s="2" t="str">
        <f>_xlfn.LET(_xlpm.val,_xlfn.XLOOKUP(C255,customers!$A$1:$A$1001,customers!$G$1:$G$1001,,0),IF(_xlpm.val=0,"",_xlpm.val))</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cm="1">
        <f t="array" ref="N255">_xlfn.SWITCH(I255,"rob","Robusta","exc","Excelsa","Ara","Arabica","Lib","Liberica","")</f>
        <v>Liberica</v>
      </c>
      <c r="O255" t="str" cm="1">
        <f t="array" ref="O255">_xlfn.SWITCH(J255,"M","Medium","D","Dark","L","Light")</f>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_xlfn.LET(_xlpm.val,_xlfn.XLOOKUP(C256,customers!$A$1:$A$1001,customers!$C$1:$C$1001,,0),IF(_xlpm.val=0,"",_xlpm.val))</f>
        <v>rmclae72@dailymotion.com</v>
      </c>
      <c r="H256" s="2" t="str">
        <f>_xlfn.LET(_xlpm.val,_xlfn.XLOOKUP(C256,customers!$A$1:$A$1001,customers!$G$1:$G$1001,,0),IF(_xlpm.val=0,"",_xlpm.val))</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cm="1">
        <f t="array" ref="N256">_xlfn.SWITCH(I256,"rob","Robusta","exc","Excelsa","Ara","Arabica","Lib","Liberica","")</f>
        <v>Robusta</v>
      </c>
      <c r="O256" t="str" cm="1">
        <f t="array" ref="O256">_xlfn.SWITCH(J256,"M","Medium","D","Dark","L","Light")</f>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_xlfn.LET(_xlpm.val,_xlfn.XLOOKUP(C257,customers!$A$1:$A$1001,customers!$C$1:$C$1001,,0),IF(_xlpm.val=0,"",_xlpm.val))</f>
        <v>cblowfelde73@ustream.tv</v>
      </c>
      <c r="H257" s="2" t="str">
        <f>_xlfn.LET(_xlpm.val,_xlfn.XLOOKUP(C257,customers!$A$1:$A$1001,customers!$G$1:$G$1001,,0),IF(_xlpm.val=0,"",_xlpm.val))</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cm="1">
        <f t="array" ref="N257">_xlfn.SWITCH(I257,"rob","Robusta","exc","Excelsa","Ara","Arabica","Lib","Liberica","")</f>
        <v>Robusta</v>
      </c>
      <c r="O257" t="str" cm="1">
        <f t="array" ref="O257">_xlfn.SWITCH(J257,"M","Medium","D","Dark","L","Light")</f>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_xlfn.LET(_xlpm.val,_xlfn.XLOOKUP(C258,customers!$A$1:$A$1001,customers!$C$1:$C$1001,,0),IF(_xlpm.val=0,"",_xlpm.val))</f>
        <v>zkiffe74@cyberchimps.com</v>
      </c>
      <c r="H258" s="2" t="str">
        <f>_xlfn.LET(_xlpm.val,_xlfn.XLOOKUP(C258,customers!$A$1:$A$1001,customers!$G$1:$G$1001,,0),IF(_xlpm.val=0,"",_xlpm.val))</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cm="1">
        <f t="array" ref="N258">_xlfn.SWITCH(I258,"rob","Robusta","exc","Excelsa","Ara","Arabica","Lib","Liberica","")</f>
        <v>Liberica</v>
      </c>
      <c r="O258" t="str" cm="1">
        <f t="array" ref="O258">_xlfn.SWITCH(J258,"M","Medium","D","Dark","L","Light")</f>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_xlfn.LET(_xlpm.val,_xlfn.XLOOKUP(C259,customers!$A$1:$A$1001,customers!$C$1:$C$1001,,0),IF(_xlpm.val=0,"",_xlpm.val))</f>
        <v>docalleran75@ucla.edu</v>
      </c>
      <c r="H259" s="2" t="str">
        <f>_xlfn.LET(_xlpm.val,_xlfn.XLOOKUP(C259,customers!$A$1:$A$1001,customers!$G$1:$G$1001,,0),IF(_xlpm.val=0,"",_xlpm.val))</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L259*E259</f>
        <v>27.945</v>
      </c>
      <c r="N259" t="str" cm="1">
        <f t="array" ref="N259">_xlfn.SWITCH(I259,"rob","Robusta","exc","Excelsa","Ara","Arabica","Lib","Liberica","")</f>
        <v>Excelsa</v>
      </c>
      <c r="O259" t="str" cm="1">
        <f t="array" ref="O259">_xlfn.SWITCH(J259,"M","Medium","D","Dark","L","Light")</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_xlfn.LET(_xlpm.val,_xlfn.XLOOKUP(C260,customers!$A$1:$A$1001,customers!$C$1:$C$1001,,0),IF(_xlpm.val=0,"",_xlpm.val))</f>
        <v>ccromwell76@desdev.cn</v>
      </c>
      <c r="H260" s="2" t="str">
        <f>_xlfn.LET(_xlpm.val,_xlfn.XLOOKUP(C260,customers!$A$1:$A$1001,customers!$G$1:$G$1001,,0),IF(_xlpm.val=0,"",_xlpm.val))</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cm="1">
        <f t="array" ref="N260">_xlfn.SWITCH(I260,"rob","Robusta","exc","Excelsa","Ara","Arabica","Lib","Liberica","")</f>
        <v>Excelsa</v>
      </c>
      <c r="O260" t="str" cm="1">
        <f t="array" ref="O260">_xlfn.SWITCH(J260,"M","Medium","D","Dark","L","Light")</f>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_xlfn.LET(_xlpm.val,_xlfn.XLOOKUP(C261,customers!$A$1:$A$1001,customers!$C$1:$C$1001,,0),IF(_xlpm.val=0,"",_xlpm.val))</f>
        <v>ihay77@lulu.com</v>
      </c>
      <c r="H261" s="2" t="str">
        <f>_xlfn.LET(_xlpm.val,_xlfn.XLOOKUP(C261,customers!$A$1:$A$1001,customers!$G$1:$G$1001,,0),IF(_xlpm.val=0,"",_xlpm.val))</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cm="1">
        <f t="array" ref="N261">_xlfn.SWITCH(I261,"rob","Robusta","exc","Excelsa","Ara","Arabica","Lib","Liberica","")</f>
        <v>Robusta</v>
      </c>
      <c r="O261" t="str" cm="1">
        <f t="array" ref="O261">_xlfn.SWITCH(J261,"M","Medium","D","Dark","L","Light")</f>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_xlfn.LET(_xlpm.val,_xlfn.XLOOKUP(C262,customers!$A$1:$A$1001,customers!$C$1:$C$1001,,0),IF(_xlpm.val=0,"",_xlpm.val))</f>
        <v>ttaffarello78@sciencedaily.com</v>
      </c>
      <c r="H262" s="2" t="str">
        <f>_xlfn.LET(_xlpm.val,_xlfn.XLOOKUP(C262,customers!$A$1:$A$1001,customers!$G$1:$G$1001,,0),IF(_xlpm.val=0,"",_xlpm.val))</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cm="1">
        <f t="array" ref="N262">_xlfn.SWITCH(I262,"rob","Robusta","exc","Excelsa","Ara","Arabica","Lib","Liberica","")</f>
        <v>Robusta</v>
      </c>
      <c r="O262" t="str" cm="1">
        <f t="array" ref="O262">_xlfn.SWITCH(J262,"M","Medium","D","Dark","L","Light")</f>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_xlfn.LET(_xlpm.val,_xlfn.XLOOKUP(C263,customers!$A$1:$A$1001,customers!$C$1:$C$1001,,0),IF(_xlpm.val=0,"",_xlpm.val))</f>
        <v>mcanty79@jigsy.com</v>
      </c>
      <c r="H263" s="2" t="str">
        <f>_xlfn.LET(_xlpm.val,_xlfn.XLOOKUP(C263,customers!$A$1:$A$1001,customers!$G$1:$G$1001,,0),IF(_xlpm.val=0,"",_xlpm.val))</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cm="1">
        <f t="array" ref="N263">_xlfn.SWITCH(I263,"rob","Robusta","exc","Excelsa","Ara","Arabica","Lib","Liberica","")</f>
        <v>Robusta</v>
      </c>
      <c r="O263" t="str" cm="1">
        <f t="array" ref="O263">_xlfn.SWITCH(J263,"M","Medium","D","Dark","L","Light")</f>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_xlfn.LET(_xlpm.val,_xlfn.XLOOKUP(C264,customers!$A$1:$A$1001,customers!$C$1:$C$1001,,0),IF(_xlpm.val=0,"",_xlpm.val))</f>
        <v>jkopke7a@auda.org.au</v>
      </c>
      <c r="H264" s="2" t="str">
        <f>_xlfn.LET(_xlpm.val,_xlfn.XLOOKUP(C264,customers!$A$1:$A$1001,customers!$G$1:$G$1001,,0),IF(_xlpm.val=0,"",_xlpm.val))</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cm="1">
        <f t="array" ref="N264">_xlfn.SWITCH(I264,"rob","Robusta","exc","Excelsa","Ara","Arabica","Lib","Liberica","")</f>
        <v>Excelsa</v>
      </c>
      <c r="O264" t="str" cm="1">
        <f t="array" ref="O264">_xlfn.SWITCH(J264,"M","Medium","D","Dark","L","Light")</f>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_xlfn.LET(_xlpm.val,_xlfn.XLOOKUP(C265,customers!$A$1:$A$1001,customers!$C$1:$C$1001,,0),IF(_xlpm.val=0,"",_xlpm.val))</f>
        <v/>
      </c>
      <c r="H265" s="2" t="str">
        <f>_xlfn.LET(_xlpm.val,_xlfn.XLOOKUP(C265,customers!$A$1:$A$1001,customers!$G$1:$G$1001,,0),IF(_xlpm.val=0,"",_xlpm.val))</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cm="1">
        <f t="array" ref="N265">_xlfn.SWITCH(I265,"rob","Robusta","exc","Excelsa","Ara","Arabica","Lib","Liberica","")</f>
        <v>Liberica</v>
      </c>
      <c r="O265" t="str" cm="1">
        <f t="array" ref="O265">_xlfn.SWITCH(J265,"M","Medium","D","Dark","L","Light")</f>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_xlfn.LET(_xlpm.val,_xlfn.XLOOKUP(C266,customers!$A$1:$A$1001,customers!$C$1:$C$1001,,0),IF(_xlpm.val=0,"",_xlpm.val))</f>
        <v/>
      </c>
      <c r="H266" s="2" t="str">
        <f>_xlfn.LET(_xlpm.val,_xlfn.XLOOKUP(C266,customers!$A$1:$A$1001,customers!$G$1:$G$1001,,0),IF(_xlpm.val=0,"",_xlpm.val))</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cm="1">
        <f t="array" ref="N266">_xlfn.SWITCH(I266,"rob","Robusta","exc","Excelsa","Ara","Arabica","Lib","Liberica","")</f>
        <v>Robusta</v>
      </c>
      <c r="O266" t="str" cm="1">
        <f t="array" ref="O266">_xlfn.SWITCH(J266,"M","Medium","D","Dark","L","Light")</f>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_xlfn.LET(_xlpm.val,_xlfn.XLOOKUP(C267,customers!$A$1:$A$1001,customers!$C$1:$C$1001,,0),IF(_xlpm.val=0,"",_xlpm.val))</f>
        <v>vhellmore7d@bbc.co.uk</v>
      </c>
      <c r="H267" s="2" t="str">
        <f>_xlfn.LET(_xlpm.val,_xlfn.XLOOKUP(C267,customers!$A$1:$A$1001,customers!$G$1:$G$1001,,0),IF(_xlpm.val=0,"",_xlpm.val))</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cm="1">
        <f t="array" ref="N267">_xlfn.SWITCH(I267,"rob","Robusta","exc","Excelsa","Ara","Arabica","Lib","Liberica","")</f>
        <v>Arabica</v>
      </c>
      <c r="O267" t="str" cm="1">
        <f t="array" ref="O267">_xlfn.SWITCH(J267,"M","Medium","D","Dark","L","Light")</f>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_xlfn.LET(_xlpm.val,_xlfn.XLOOKUP(C268,customers!$A$1:$A$1001,customers!$C$1:$C$1001,,0),IF(_xlpm.val=0,"",_xlpm.val))</f>
        <v>mseawright7e@nbcnews.com</v>
      </c>
      <c r="H268" s="2" t="str">
        <f>_xlfn.LET(_xlpm.val,_xlfn.XLOOKUP(C268,customers!$A$1:$A$1001,customers!$G$1:$G$1001,,0),IF(_xlpm.val=0,"",_xlpm.val))</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cm="1">
        <f t="array" ref="N268">_xlfn.SWITCH(I268,"rob","Robusta","exc","Excelsa","Ara","Arabica","Lib","Liberica","")</f>
        <v>Excelsa</v>
      </c>
      <c r="O268" t="str" cm="1">
        <f t="array" ref="O268">_xlfn.SWITCH(J268,"M","Medium","D","Dark","L","Light")</f>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_xlfn.LET(_xlpm.val,_xlfn.XLOOKUP(C269,customers!$A$1:$A$1001,customers!$C$1:$C$1001,,0),IF(_xlpm.val=0,"",_xlpm.val))</f>
        <v>snortheast7f@mashable.com</v>
      </c>
      <c r="H269" s="2" t="str">
        <f>_xlfn.LET(_xlpm.val,_xlfn.XLOOKUP(C269,customers!$A$1:$A$1001,customers!$G$1:$G$1001,,0),IF(_xlpm.val=0,"",_xlpm.val))</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cm="1">
        <f t="array" ref="N269">_xlfn.SWITCH(I269,"rob","Robusta","exc","Excelsa","Ara","Arabica","Lib","Liberica","")</f>
        <v>Excelsa</v>
      </c>
      <c r="O269" t="str" cm="1">
        <f t="array" ref="O269">_xlfn.SWITCH(J269,"M","Medium","D","Dark","L","Light")</f>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_xlfn.LET(_xlpm.val,_xlfn.XLOOKUP(C270,customers!$A$1:$A$1001,customers!$C$1:$C$1001,,0),IF(_xlpm.val=0,"",_xlpm.val))</f>
        <v>aattwater5u@wikia.com</v>
      </c>
      <c r="H270" s="2" t="str">
        <f>_xlfn.LET(_xlpm.val,_xlfn.XLOOKUP(C270,customers!$A$1:$A$1001,customers!$G$1:$G$1001,,0),IF(_xlpm.val=0,"",_xlpm.val))</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cm="1">
        <f t="array" ref="N270">_xlfn.SWITCH(I270,"rob","Robusta","exc","Excelsa","Ara","Arabica","Lib","Liberica","")</f>
        <v>Arabica</v>
      </c>
      <c r="O270" t="str" cm="1">
        <f t="array" ref="O270">_xlfn.SWITCH(J270,"M","Medium","D","Dark","L","Light")</f>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_xlfn.LET(_xlpm.val,_xlfn.XLOOKUP(C271,customers!$A$1:$A$1001,customers!$C$1:$C$1001,,0),IF(_xlpm.val=0,"",_xlpm.val))</f>
        <v>mfearon7h@reverbnation.com</v>
      </c>
      <c r="H271" s="2" t="str">
        <f>_xlfn.LET(_xlpm.val,_xlfn.XLOOKUP(C271,customers!$A$1:$A$1001,customers!$G$1:$G$1001,,0),IF(_xlpm.val=0,"",_xlpm.val))</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cm="1">
        <f t="array" ref="N271">_xlfn.SWITCH(I271,"rob","Robusta","exc","Excelsa","Ara","Arabica","Lib","Liberica","")</f>
        <v>Arabica</v>
      </c>
      <c r="O271" t="str" cm="1">
        <f t="array" ref="O271">_xlfn.SWITCH(J271,"M","Medium","D","Dark","L","Light")</f>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_xlfn.LET(_xlpm.val,_xlfn.XLOOKUP(C272,customers!$A$1:$A$1001,customers!$C$1:$C$1001,,0),IF(_xlpm.val=0,"",_xlpm.val))</f>
        <v/>
      </c>
      <c r="H272" s="2" t="str">
        <f>_xlfn.LET(_xlpm.val,_xlfn.XLOOKUP(C272,customers!$A$1:$A$1001,customers!$G$1:$G$1001,,0),IF(_xlpm.val=0,"",_xlpm.val))</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cm="1">
        <f t="array" ref="N272">_xlfn.SWITCH(I272,"rob","Robusta","exc","Excelsa","Ara","Arabica","Lib","Liberica","")</f>
        <v>Excelsa</v>
      </c>
      <c r="O272" t="str" cm="1">
        <f t="array" ref="O272">_xlfn.SWITCH(J272,"M","Medium","D","Dark","L","Light")</f>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_xlfn.LET(_xlpm.val,_xlfn.XLOOKUP(C273,customers!$A$1:$A$1001,customers!$C$1:$C$1001,,0),IF(_xlpm.val=0,"",_xlpm.val))</f>
        <v>jsisneros7j@a8.net</v>
      </c>
      <c r="H273" s="2" t="str">
        <f>_xlfn.LET(_xlpm.val,_xlfn.XLOOKUP(C273,customers!$A$1:$A$1001,customers!$G$1:$G$1001,,0),IF(_xlpm.val=0,"",_xlpm.val))</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cm="1">
        <f t="array" ref="N273">_xlfn.SWITCH(I273,"rob","Robusta","exc","Excelsa","Ara","Arabica","Lib","Liberica","")</f>
        <v>Arabica</v>
      </c>
      <c r="O273" t="str" cm="1">
        <f t="array" ref="O273">_xlfn.SWITCH(J273,"M","Medium","D","Dark","L","Light")</f>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_xlfn.LET(_xlpm.val,_xlfn.XLOOKUP(C274,customers!$A$1:$A$1001,customers!$C$1:$C$1001,,0),IF(_xlpm.val=0,"",_xlpm.val))</f>
        <v>zcarlson7k@bigcartel.com</v>
      </c>
      <c r="H274" s="2" t="str">
        <f>_xlfn.LET(_xlpm.val,_xlfn.XLOOKUP(C274,customers!$A$1:$A$1001,customers!$G$1:$G$1001,,0),IF(_xlpm.val=0,"",_xlpm.val))</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cm="1">
        <f t="array" ref="N274">_xlfn.SWITCH(I274,"rob","Robusta","exc","Excelsa","Ara","Arabica","Lib","Liberica","")</f>
        <v>Robusta</v>
      </c>
      <c r="O274" t="str" cm="1">
        <f t="array" ref="O274">_xlfn.SWITCH(J274,"M","Medium","D","Dark","L","Light")</f>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_xlfn.LET(_xlpm.val,_xlfn.XLOOKUP(C275,customers!$A$1:$A$1001,customers!$C$1:$C$1001,,0),IF(_xlpm.val=0,"",_xlpm.val))</f>
        <v>wmaddox7l@timesonline.co.uk</v>
      </c>
      <c r="H275" s="2" t="str">
        <f>_xlfn.LET(_xlpm.val,_xlfn.XLOOKUP(C275,customers!$A$1:$A$1001,customers!$G$1:$G$1001,,0),IF(_xlpm.val=0,"",_xlpm.val))</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cm="1">
        <f t="array" ref="N275">_xlfn.SWITCH(I275,"rob","Robusta","exc","Excelsa","Ara","Arabica","Lib","Liberica","")</f>
        <v>Arabica</v>
      </c>
      <c r="O275" t="str" cm="1">
        <f t="array" ref="O275">_xlfn.SWITCH(J275,"M","Medium","D","Dark","L","Light")</f>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_xlfn.LET(_xlpm.val,_xlfn.XLOOKUP(C276,customers!$A$1:$A$1001,customers!$C$1:$C$1001,,0),IF(_xlpm.val=0,"",_xlpm.val))</f>
        <v>dhedlestone7m@craigslist.org</v>
      </c>
      <c r="H276" s="2" t="str">
        <f>_xlfn.LET(_xlpm.val,_xlfn.XLOOKUP(C276,customers!$A$1:$A$1001,customers!$G$1:$G$1001,,0),IF(_xlpm.val=0,"",_xlpm.val))</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cm="1">
        <f t="array" ref="N276">_xlfn.SWITCH(I276,"rob","Robusta","exc","Excelsa","Ara","Arabica","Lib","Liberica","")</f>
        <v>Arabica</v>
      </c>
      <c r="O276" t="str" cm="1">
        <f t="array" ref="O276">_xlfn.SWITCH(J276,"M","Medium","D","Dark","L","Light")</f>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_xlfn.LET(_xlpm.val,_xlfn.XLOOKUP(C277,customers!$A$1:$A$1001,customers!$C$1:$C$1001,,0),IF(_xlpm.val=0,"",_xlpm.val))</f>
        <v>tcrowthe7n@europa.eu</v>
      </c>
      <c r="H277" s="2" t="str">
        <f>_xlfn.LET(_xlpm.val,_xlfn.XLOOKUP(C277,customers!$A$1:$A$1001,customers!$G$1:$G$1001,,0),IF(_xlpm.val=0,"",_xlpm.val))</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cm="1">
        <f t="array" ref="N277">_xlfn.SWITCH(I277,"rob","Robusta","exc","Excelsa","Ara","Arabica","Lib","Liberica","")</f>
        <v>Excelsa</v>
      </c>
      <c r="O277" t="str" cm="1">
        <f t="array" ref="O277">_xlfn.SWITCH(J277,"M","Medium","D","Dark","L","Light")</f>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_xlfn.LET(_xlpm.val,_xlfn.XLOOKUP(C278,customers!$A$1:$A$1001,customers!$C$1:$C$1001,,0),IF(_xlpm.val=0,"",_xlpm.val))</f>
        <v>dbury7o@tinyurl.com</v>
      </c>
      <c r="H278" s="2" t="str">
        <f>_xlfn.LET(_xlpm.val,_xlfn.XLOOKUP(C278,customers!$A$1:$A$1001,customers!$G$1:$G$1001,,0),IF(_xlpm.val=0,"",_xlpm.val))</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cm="1">
        <f t="array" ref="N278">_xlfn.SWITCH(I278,"rob","Robusta","exc","Excelsa","Ara","Arabica","Lib","Liberica","")</f>
        <v>Robusta</v>
      </c>
      <c r="O278" t="str" cm="1">
        <f t="array" ref="O278">_xlfn.SWITCH(J278,"M","Medium","D","Dark","L","Light")</f>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_xlfn.LET(_xlpm.val,_xlfn.XLOOKUP(C279,customers!$A$1:$A$1001,customers!$C$1:$C$1001,,0),IF(_xlpm.val=0,"",_xlpm.val))</f>
        <v>gbroadbear7p@omniture.com</v>
      </c>
      <c r="H279" s="2" t="str">
        <f>_xlfn.LET(_xlpm.val,_xlfn.XLOOKUP(C279,customers!$A$1:$A$1001,customers!$G$1:$G$1001,,0),IF(_xlpm.val=0,"",_xlpm.val))</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cm="1">
        <f t="array" ref="N279">_xlfn.SWITCH(I279,"rob","Robusta","exc","Excelsa","Ara","Arabica","Lib","Liberica","")</f>
        <v>Excelsa</v>
      </c>
      <c r="O279" t="str" cm="1">
        <f t="array" ref="O279">_xlfn.SWITCH(J279,"M","Medium","D","Dark","L","Light")</f>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_xlfn.LET(_xlpm.val,_xlfn.XLOOKUP(C280,customers!$A$1:$A$1001,customers!$C$1:$C$1001,,0),IF(_xlpm.val=0,"",_xlpm.val))</f>
        <v>epalfrey7q@devhub.com</v>
      </c>
      <c r="H280" s="2" t="str">
        <f>_xlfn.LET(_xlpm.val,_xlfn.XLOOKUP(C280,customers!$A$1:$A$1001,customers!$G$1:$G$1001,,0),IF(_xlpm.val=0,"",_xlpm.val))</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cm="1">
        <f t="array" ref="N280">_xlfn.SWITCH(I280,"rob","Robusta","exc","Excelsa","Ara","Arabica","Lib","Liberica","")</f>
        <v>Arabica</v>
      </c>
      <c r="O280" t="str" cm="1">
        <f t="array" ref="O280">_xlfn.SWITCH(J280,"M","Medium","D","Dark","L","Light")</f>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_xlfn.LET(_xlpm.val,_xlfn.XLOOKUP(C281,customers!$A$1:$A$1001,customers!$C$1:$C$1001,,0),IF(_xlpm.val=0,"",_xlpm.val))</f>
        <v>pmetrick7r@rakuten.co.jp</v>
      </c>
      <c r="H281" s="2" t="str">
        <f>_xlfn.LET(_xlpm.val,_xlfn.XLOOKUP(C281,customers!$A$1:$A$1001,customers!$G$1:$G$1001,,0),IF(_xlpm.val=0,"",_xlpm.val))</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cm="1">
        <f t="array" ref="N281">_xlfn.SWITCH(I281,"rob","Robusta","exc","Excelsa","Ara","Arabica","Lib","Liberica","")</f>
        <v>Liberica</v>
      </c>
      <c r="O281" t="str" cm="1">
        <f t="array" ref="O281">_xlfn.SWITCH(J281,"M","Medium","D","Dark","L","Light")</f>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_xlfn.LET(_xlpm.val,_xlfn.XLOOKUP(C282,customers!$A$1:$A$1001,customers!$C$1:$C$1001,,0),IF(_xlpm.val=0,"",_xlpm.val))</f>
        <v/>
      </c>
      <c r="H282" s="2" t="str">
        <f>_xlfn.LET(_xlpm.val,_xlfn.XLOOKUP(C282,customers!$A$1:$A$1001,customers!$G$1:$G$1001,,0),IF(_xlpm.val=0,"",_xlpm.val))</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cm="1">
        <f t="array" ref="N282">_xlfn.SWITCH(I282,"rob","Robusta","exc","Excelsa","Ara","Arabica","Lib","Liberica","")</f>
        <v>Excelsa</v>
      </c>
      <c r="O282" t="str" cm="1">
        <f t="array" ref="O282">_xlfn.SWITCH(J282,"M","Medium","D","Dark","L","Light")</f>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_xlfn.LET(_xlpm.val,_xlfn.XLOOKUP(C283,customers!$A$1:$A$1001,customers!$C$1:$C$1001,,0),IF(_xlpm.val=0,"",_xlpm.val))</f>
        <v>kkarby7t@sbwire.com</v>
      </c>
      <c r="H283" s="2" t="str">
        <f>_xlfn.LET(_xlpm.val,_xlfn.XLOOKUP(C283,customers!$A$1:$A$1001,customers!$G$1:$G$1001,,0),IF(_xlpm.val=0,"",_xlpm.val))</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cm="1">
        <f t="array" ref="N283">_xlfn.SWITCH(I283,"rob","Robusta","exc","Excelsa","Ara","Arabica","Lib","Liberica","")</f>
        <v>Excelsa</v>
      </c>
      <c r="O283" t="str" cm="1">
        <f t="array" ref="O283">_xlfn.SWITCH(J283,"M","Medium","D","Dark","L","Light")</f>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_xlfn.LET(_xlpm.val,_xlfn.XLOOKUP(C284,customers!$A$1:$A$1001,customers!$C$1:$C$1001,,0),IF(_xlpm.val=0,"",_xlpm.val))</f>
        <v>fcrumpe7u@ftc.gov</v>
      </c>
      <c r="H284" s="2" t="str">
        <f>_xlfn.LET(_xlpm.val,_xlfn.XLOOKUP(C284,customers!$A$1:$A$1001,customers!$G$1:$G$1001,,0),IF(_xlpm.val=0,"",_xlpm.val))</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cm="1">
        <f t="array" ref="N284">_xlfn.SWITCH(I284,"rob","Robusta","exc","Excelsa","Ara","Arabica","Lib","Liberica","")</f>
        <v>Arabica</v>
      </c>
      <c r="O284" t="str" cm="1">
        <f t="array" ref="O284">_xlfn.SWITCH(J284,"M","Medium","D","Dark","L","Light")</f>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_xlfn.LET(_xlpm.val,_xlfn.XLOOKUP(C285,customers!$A$1:$A$1001,customers!$C$1:$C$1001,,0),IF(_xlpm.val=0,"",_xlpm.val))</f>
        <v>achatto7v@sakura.ne.jp</v>
      </c>
      <c r="H285" s="2" t="str">
        <f>_xlfn.LET(_xlpm.val,_xlfn.XLOOKUP(C285,customers!$A$1:$A$1001,customers!$G$1:$G$1001,,0),IF(_xlpm.val=0,"",_xlpm.val))</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cm="1">
        <f t="array" ref="N285">_xlfn.SWITCH(I285,"rob","Robusta","exc","Excelsa","Ara","Arabica","Lib","Liberica","")</f>
        <v>Robusta</v>
      </c>
      <c r="O285" t="str" cm="1">
        <f t="array" ref="O285">_xlfn.SWITCH(J285,"M","Medium","D","Dark","L","Light")</f>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_xlfn.LET(_xlpm.val,_xlfn.XLOOKUP(C286,customers!$A$1:$A$1001,customers!$C$1:$C$1001,,0),IF(_xlpm.val=0,"",_xlpm.val))</f>
        <v/>
      </c>
      <c r="H286" s="2" t="str">
        <f>_xlfn.LET(_xlpm.val,_xlfn.XLOOKUP(C286,customers!$A$1:$A$1001,customers!$G$1:$G$1001,,0),IF(_xlpm.val=0,"",_xlpm.val))</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cm="1">
        <f t="array" ref="N286">_xlfn.SWITCH(I286,"rob","Robusta","exc","Excelsa","Ara","Arabica","Lib","Liberica","")</f>
        <v>Excelsa</v>
      </c>
      <c r="O286" t="str" cm="1">
        <f t="array" ref="O286">_xlfn.SWITCH(J286,"M","Medium","D","Dark","L","Light")</f>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_xlfn.LET(_xlpm.val,_xlfn.XLOOKUP(C287,customers!$A$1:$A$1001,customers!$C$1:$C$1001,,0),IF(_xlpm.val=0,"",_xlpm.val))</f>
        <v/>
      </c>
      <c r="H287" s="2" t="str">
        <f>_xlfn.LET(_xlpm.val,_xlfn.XLOOKUP(C287,customers!$A$1:$A$1001,customers!$G$1:$G$1001,,0),IF(_xlpm.val=0,"",_xlpm.val))</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cm="1">
        <f t="array" ref="N287">_xlfn.SWITCH(I287,"rob","Robusta","exc","Excelsa","Ara","Arabica","Lib","Liberica","")</f>
        <v>Liberica</v>
      </c>
      <c r="O287" t="str" cm="1">
        <f t="array" ref="O287">_xlfn.SWITCH(J287,"M","Medium","D","Dark","L","Light")</f>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_xlfn.LET(_xlpm.val,_xlfn.XLOOKUP(C288,customers!$A$1:$A$1001,customers!$C$1:$C$1001,,0),IF(_xlpm.val=0,"",_xlpm.val))</f>
        <v>bmergue7y@umn.edu</v>
      </c>
      <c r="H288" s="2" t="str">
        <f>_xlfn.LET(_xlpm.val,_xlfn.XLOOKUP(C288,customers!$A$1:$A$1001,customers!$G$1:$G$1001,,0),IF(_xlpm.val=0,"",_xlpm.val))</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cm="1">
        <f t="array" ref="N288">_xlfn.SWITCH(I288,"rob","Robusta","exc","Excelsa","Ara","Arabica","Lib","Liberica","")</f>
        <v>Arabica</v>
      </c>
      <c r="O288" t="str" cm="1">
        <f t="array" ref="O288">_xlfn.SWITCH(J288,"M","Medium","D","Dark","L","Light")</f>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_xlfn.LET(_xlpm.val,_xlfn.XLOOKUP(C289,customers!$A$1:$A$1001,customers!$C$1:$C$1001,,0),IF(_xlpm.val=0,"",_xlpm.val))</f>
        <v>kpatise7z@jigsy.com</v>
      </c>
      <c r="H289" s="2" t="str">
        <f>_xlfn.LET(_xlpm.val,_xlfn.XLOOKUP(C289,customers!$A$1:$A$1001,customers!$G$1:$G$1001,,0),IF(_xlpm.val=0,"",_xlpm.val))</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cm="1">
        <f t="array" ref="N289">_xlfn.SWITCH(I289,"rob","Robusta","exc","Excelsa","Ara","Arabica","Lib","Liberica","")</f>
        <v>Robusta</v>
      </c>
      <c r="O289" t="str" cm="1">
        <f t="array" ref="O289">_xlfn.SWITCH(J289,"M","Medium","D","Dark","L","Light")</f>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_xlfn.LET(_xlpm.val,_xlfn.XLOOKUP(C290,customers!$A$1:$A$1001,customers!$C$1:$C$1001,,0),IF(_xlpm.val=0,"",_xlpm.val))</f>
        <v/>
      </c>
      <c r="H290" s="2" t="str">
        <f>_xlfn.LET(_xlpm.val,_xlfn.XLOOKUP(C290,customers!$A$1:$A$1001,customers!$G$1:$G$1001,,0),IF(_xlpm.val=0,"",_xlpm.val))</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cm="1">
        <f t="array" ref="N290">_xlfn.SWITCH(I290,"rob","Robusta","exc","Excelsa","Ara","Arabica","Lib","Liberica","")</f>
        <v>Excelsa</v>
      </c>
      <c r="O290" t="str" cm="1">
        <f t="array" ref="O290">_xlfn.SWITCH(J290,"M","Medium","D","Dark","L","Light")</f>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_xlfn.LET(_xlpm.val,_xlfn.XLOOKUP(C291,customers!$A$1:$A$1001,customers!$C$1:$C$1001,,0),IF(_xlpm.val=0,"",_xlpm.val))</f>
        <v/>
      </c>
      <c r="H291" s="2" t="str">
        <f>_xlfn.LET(_xlpm.val,_xlfn.XLOOKUP(C291,customers!$A$1:$A$1001,customers!$G$1:$G$1001,,0),IF(_xlpm.val=0,"",_xlpm.val))</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cm="1">
        <f t="array" ref="N291">_xlfn.SWITCH(I291,"rob","Robusta","exc","Excelsa","Ara","Arabica","Lib","Liberica","")</f>
        <v>Robusta</v>
      </c>
      <c r="O291" t="str" cm="1">
        <f t="array" ref="O291">_xlfn.SWITCH(J291,"M","Medium","D","Dark","L","Light")</f>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_xlfn.LET(_xlpm.val,_xlfn.XLOOKUP(C292,customers!$A$1:$A$1001,customers!$C$1:$C$1001,,0),IF(_xlpm.val=0,"",_xlpm.val))</f>
        <v>dduke82@vkontakte.ru</v>
      </c>
      <c r="H292" s="2" t="str">
        <f>_xlfn.LET(_xlpm.val,_xlfn.XLOOKUP(C292,customers!$A$1:$A$1001,customers!$G$1:$G$1001,,0),IF(_xlpm.val=0,"",_xlpm.val))</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cm="1">
        <f t="array" ref="N292">_xlfn.SWITCH(I292,"rob","Robusta","exc","Excelsa","Ara","Arabica","Lib","Liberica","")</f>
        <v>Arabica</v>
      </c>
      <c r="O292" t="str" cm="1">
        <f t="array" ref="O292">_xlfn.SWITCH(J292,"M","Medium","D","Dark","L","Light")</f>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_xlfn.LET(_xlpm.val,_xlfn.XLOOKUP(C293,customers!$A$1:$A$1001,customers!$C$1:$C$1001,,0),IF(_xlpm.val=0,"",_xlpm.val))</f>
        <v/>
      </c>
      <c r="H293" s="2" t="str">
        <f>_xlfn.LET(_xlpm.val,_xlfn.XLOOKUP(C293,customers!$A$1:$A$1001,customers!$G$1:$G$1001,,0),IF(_xlpm.val=0,"",_xlpm.val))</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cm="1">
        <f t="array" ref="N293">_xlfn.SWITCH(I293,"rob","Robusta","exc","Excelsa","Ara","Arabica","Lib","Liberica","")</f>
        <v>Excelsa</v>
      </c>
      <c r="O293" t="str" cm="1">
        <f t="array" ref="O293">_xlfn.SWITCH(J293,"M","Medium","D","Dark","L","Light")</f>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_xlfn.LET(_xlpm.val,_xlfn.XLOOKUP(C294,customers!$A$1:$A$1001,customers!$C$1:$C$1001,,0),IF(_xlpm.val=0,"",_xlpm.val))</f>
        <v>ihussey84@mapy.cz</v>
      </c>
      <c r="H294" s="2" t="str">
        <f>_xlfn.LET(_xlpm.val,_xlfn.XLOOKUP(C294,customers!$A$1:$A$1001,customers!$G$1:$G$1001,,0),IF(_xlpm.val=0,"",_xlpm.val))</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cm="1">
        <f t="array" ref="N294">_xlfn.SWITCH(I294,"rob","Robusta","exc","Excelsa","Ara","Arabica","Lib","Liberica","")</f>
        <v>Arabica</v>
      </c>
      <c r="O294" t="str" cm="1">
        <f t="array" ref="O294">_xlfn.SWITCH(J294,"M","Medium","D","Dark","L","Light")</f>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_xlfn.LET(_xlpm.val,_xlfn.XLOOKUP(C295,customers!$A$1:$A$1001,customers!$C$1:$C$1001,,0),IF(_xlpm.val=0,"",_xlpm.val))</f>
        <v>cpinkerton85@upenn.edu</v>
      </c>
      <c r="H295" s="2" t="str">
        <f>_xlfn.LET(_xlpm.val,_xlfn.XLOOKUP(C295,customers!$A$1:$A$1001,customers!$G$1:$G$1001,,0),IF(_xlpm.val=0,"",_xlpm.val))</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cm="1">
        <f t="array" ref="N295">_xlfn.SWITCH(I295,"rob","Robusta","exc","Excelsa","Ara","Arabica","Lib","Liberica","")</f>
        <v>Arabica</v>
      </c>
      <c r="O295" t="str" cm="1">
        <f t="array" ref="O295">_xlfn.SWITCH(J295,"M","Medium","D","Dark","L","Light")</f>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_xlfn.LET(_xlpm.val,_xlfn.XLOOKUP(C296,customers!$A$1:$A$1001,customers!$C$1:$C$1001,,0),IF(_xlpm.val=0,"",_xlpm.val))</f>
        <v/>
      </c>
      <c r="H296" s="2" t="str">
        <f>_xlfn.LET(_xlpm.val,_xlfn.XLOOKUP(C296,customers!$A$1:$A$1001,customers!$G$1:$G$1001,,0),IF(_xlpm.val=0,"",_xlpm.val))</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cm="1">
        <f t="array" ref="N296">_xlfn.SWITCH(I296,"rob","Robusta","exc","Excelsa","Ara","Arabica","Lib","Liberica","")</f>
        <v>Excelsa</v>
      </c>
      <c r="O296" t="str" cm="1">
        <f t="array" ref="O296">_xlfn.SWITCH(J296,"M","Medium","D","Dark","L","Light")</f>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_xlfn.LET(_xlpm.val,_xlfn.XLOOKUP(C297,customers!$A$1:$A$1001,customers!$C$1:$C$1001,,0),IF(_xlpm.val=0,"",_xlpm.val))</f>
        <v/>
      </c>
      <c r="H297" s="2" t="str">
        <f>_xlfn.LET(_xlpm.val,_xlfn.XLOOKUP(C297,customers!$A$1:$A$1001,customers!$G$1:$G$1001,,0),IF(_xlpm.val=0,"",_xlpm.val))</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cm="1">
        <f t="array" ref="N297">_xlfn.SWITCH(I297,"rob","Robusta","exc","Excelsa","Ara","Arabica","Lib","Liberica","")</f>
        <v>Excelsa</v>
      </c>
      <c r="O297" t="str" cm="1">
        <f t="array" ref="O297">_xlfn.SWITCH(J297,"M","Medium","D","Dark","L","Light")</f>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_xlfn.LET(_xlpm.val,_xlfn.XLOOKUP(C298,customers!$A$1:$A$1001,customers!$C$1:$C$1001,,0),IF(_xlpm.val=0,"",_xlpm.val))</f>
        <v>dvizor88@furl.net</v>
      </c>
      <c r="H298" s="2" t="str">
        <f>_xlfn.LET(_xlpm.val,_xlfn.XLOOKUP(C298,customers!$A$1:$A$1001,customers!$G$1:$G$1001,,0),IF(_xlpm.val=0,"",_xlpm.val))</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cm="1">
        <f t="array" ref="N298">_xlfn.SWITCH(I298,"rob","Robusta","exc","Excelsa","Ara","Arabica","Lib","Liberica","")</f>
        <v>Robusta</v>
      </c>
      <c r="O298" t="str" cm="1">
        <f t="array" ref="O298">_xlfn.SWITCH(J298,"M","Medium","D","Dark","L","Light")</f>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_xlfn.LET(_xlpm.val,_xlfn.XLOOKUP(C299,customers!$A$1:$A$1001,customers!$C$1:$C$1001,,0),IF(_xlpm.val=0,"",_xlpm.val))</f>
        <v>esedgebeer89@oaic.gov.au</v>
      </c>
      <c r="H299" s="2" t="str">
        <f>_xlfn.LET(_xlpm.val,_xlfn.XLOOKUP(C299,customers!$A$1:$A$1001,customers!$G$1:$G$1001,,0),IF(_xlpm.val=0,"",_xlpm.val))</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cm="1">
        <f t="array" ref="N299">_xlfn.SWITCH(I299,"rob","Robusta","exc","Excelsa","Ara","Arabica","Lib","Liberica","")</f>
        <v>Robusta</v>
      </c>
      <c r="O299" t="str" cm="1">
        <f t="array" ref="O299">_xlfn.SWITCH(J299,"M","Medium","D","Dark","L","Light")</f>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_xlfn.LET(_xlpm.val,_xlfn.XLOOKUP(C300,customers!$A$1:$A$1001,customers!$C$1:$C$1001,,0),IF(_xlpm.val=0,"",_xlpm.val))</f>
        <v>klestrange8a@lulu.com</v>
      </c>
      <c r="H300" s="2" t="str">
        <f>_xlfn.LET(_xlpm.val,_xlfn.XLOOKUP(C300,customers!$A$1:$A$1001,customers!$G$1:$G$1001,,0),IF(_xlpm.val=0,"",_xlpm.val))</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cm="1">
        <f t="array" ref="N300">_xlfn.SWITCH(I300,"rob","Robusta","exc","Excelsa","Ara","Arabica","Lib","Liberica","")</f>
        <v>Excelsa</v>
      </c>
      <c r="O300" t="str" cm="1">
        <f t="array" ref="O300">_xlfn.SWITCH(J300,"M","Medium","D","Dark","L","Light")</f>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_xlfn.LET(_xlpm.val,_xlfn.XLOOKUP(C301,customers!$A$1:$A$1001,customers!$C$1:$C$1001,,0),IF(_xlpm.val=0,"",_xlpm.val))</f>
        <v>ltanti8b@techcrunch.com</v>
      </c>
      <c r="H301" s="2" t="str">
        <f>_xlfn.LET(_xlpm.val,_xlfn.XLOOKUP(C301,customers!$A$1:$A$1001,customers!$G$1:$G$1001,,0),IF(_xlpm.val=0,"",_xlpm.val))</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cm="1">
        <f t="array" ref="N301">_xlfn.SWITCH(I301,"rob","Robusta","exc","Excelsa","Ara","Arabica","Lib","Liberica","")</f>
        <v>Excelsa</v>
      </c>
      <c r="O301" t="str" cm="1">
        <f t="array" ref="O301">_xlfn.SWITCH(J301,"M","Medium","D","Dark","L","Light")</f>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_xlfn.LET(_xlpm.val,_xlfn.XLOOKUP(C302,customers!$A$1:$A$1001,customers!$C$1:$C$1001,,0),IF(_xlpm.val=0,"",_xlpm.val))</f>
        <v>ade8c@1und1.de</v>
      </c>
      <c r="H302" s="2" t="str">
        <f>_xlfn.LET(_xlpm.val,_xlfn.XLOOKUP(C302,customers!$A$1:$A$1001,customers!$G$1:$G$1001,,0),IF(_xlpm.val=0,"",_xlpm.val))</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cm="1">
        <f t="array" ref="N302">_xlfn.SWITCH(I302,"rob","Robusta","exc","Excelsa","Ara","Arabica","Lib","Liberica","")</f>
        <v>Arabica</v>
      </c>
      <c r="O302" t="str" cm="1">
        <f t="array" ref="O302">_xlfn.SWITCH(J302,"M","Medium","D","Dark","L","Light")</f>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_xlfn.LET(_xlpm.val,_xlfn.XLOOKUP(C303,customers!$A$1:$A$1001,customers!$C$1:$C$1001,,0),IF(_xlpm.val=0,"",_xlpm.val))</f>
        <v>tjedrachowicz8d@acquirethisname.com</v>
      </c>
      <c r="H303" s="2" t="str">
        <f>_xlfn.LET(_xlpm.val,_xlfn.XLOOKUP(C303,customers!$A$1:$A$1001,customers!$G$1:$G$1001,,0),IF(_xlpm.val=0,"",_xlpm.val))</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cm="1">
        <f t="array" ref="N303">_xlfn.SWITCH(I303,"rob","Robusta","exc","Excelsa","Ara","Arabica","Lib","Liberica","")</f>
        <v>Liberica</v>
      </c>
      <c r="O303" t="str" cm="1">
        <f t="array" ref="O303">_xlfn.SWITCH(J303,"M","Medium","D","Dark","L","Light")</f>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_xlfn.LET(_xlpm.val,_xlfn.XLOOKUP(C304,customers!$A$1:$A$1001,customers!$C$1:$C$1001,,0),IF(_xlpm.val=0,"",_xlpm.val))</f>
        <v>pstonner8e@moonfruit.com</v>
      </c>
      <c r="H304" s="2" t="str">
        <f>_xlfn.LET(_xlpm.val,_xlfn.XLOOKUP(C304,customers!$A$1:$A$1001,customers!$G$1:$G$1001,,0),IF(_xlpm.val=0,"",_xlpm.val))</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cm="1">
        <f t="array" ref="N304">_xlfn.SWITCH(I304,"rob","Robusta","exc","Excelsa","Ara","Arabica","Lib","Liberica","")</f>
        <v>Arabica</v>
      </c>
      <c r="O304" t="str" cm="1">
        <f t="array" ref="O304">_xlfn.SWITCH(J304,"M","Medium","D","Dark","L","Light")</f>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_xlfn.LET(_xlpm.val,_xlfn.XLOOKUP(C305,customers!$A$1:$A$1001,customers!$C$1:$C$1001,,0),IF(_xlpm.val=0,"",_xlpm.val))</f>
        <v>dtingly8f@goo.ne.jp</v>
      </c>
      <c r="H305" s="2" t="str">
        <f>_xlfn.LET(_xlpm.val,_xlfn.XLOOKUP(C305,customers!$A$1:$A$1001,customers!$G$1:$G$1001,,0),IF(_xlpm.val=0,"",_xlpm.val))</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cm="1">
        <f t="array" ref="N305">_xlfn.SWITCH(I305,"rob","Robusta","exc","Excelsa","Ara","Arabica","Lib","Liberica","")</f>
        <v>Excelsa</v>
      </c>
      <c r="O305" t="str" cm="1">
        <f t="array" ref="O305">_xlfn.SWITCH(J305,"M","Medium","D","Dark","L","Light")</f>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_xlfn.LET(_xlpm.val,_xlfn.XLOOKUP(C306,customers!$A$1:$A$1001,customers!$C$1:$C$1001,,0),IF(_xlpm.val=0,"",_xlpm.val))</f>
        <v>crushe8n@about.me</v>
      </c>
      <c r="H306" s="2" t="str">
        <f>_xlfn.LET(_xlpm.val,_xlfn.XLOOKUP(C306,customers!$A$1:$A$1001,customers!$G$1:$G$1001,,0),IF(_xlpm.val=0,"",_xlpm.val))</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cm="1">
        <f t="array" ref="N306">_xlfn.SWITCH(I306,"rob","Robusta","exc","Excelsa","Ara","Arabica","Lib","Liberica","")</f>
        <v>Arabica</v>
      </c>
      <c r="O306" t="str" cm="1">
        <f t="array" ref="O306">_xlfn.SWITCH(J306,"M","Medium","D","Dark","L","Light")</f>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_xlfn.LET(_xlpm.val,_xlfn.XLOOKUP(C307,customers!$A$1:$A$1001,customers!$C$1:$C$1001,,0),IF(_xlpm.val=0,"",_xlpm.val))</f>
        <v>bchecci8h@usa.gov</v>
      </c>
      <c r="H307" s="2" t="str">
        <f>_xlfn.LET(_xlpm.val,_xlfn.XLOOKUP(C307,customers!$A$1:$A$1001,customers!$G$1:$G$1001,,0),IF(_xlpm.val=0,"",_xlpm.val))</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cm="1">
        <f t="array" ref="N307">_xlfn.SWITCH(I307,"rob","Robusta","exc","Excelsa","Ara","Arabica","Lib","Liberica","")</f>
        <v>Liberica</v>
      </c>
      <c r="O307" t="str" cm="1">
        <f t="array" ref="O307">_xlfn.SWITCH(J307,"M","Medium","D","Dark","L","Light")</f>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_xlfn.LET(_xlpm.val,_xlfn.XLOOKUP(C308,customers!$A$1:$A$1001,customers!$C$1:$C$1001,,0),IF(_xlpm.val=0,"",_xlpm.val))</f>
        <v>jbagot8i@mac.com</v>
      </c>
      <c r="H308" s="2" t="str">
        <f>_xlfn.LET(_xlpm.val,_xlfn.XLOOKUP(C308,customers!$A$1:$A$1001,customers!$G$1:$G$1001,,0),IF(_xlpm.val=0,"",_xlpm.val))</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cm="1">
        <f t="array" ref="N308">_xlfn.SWITCH(I308,"rob","Robusta","exc","Excelsa","Ara","Arabica","Lib","Liberica","")</f>
        <v>Robusta</v>
      </c>
      <c r="O308" t="str" cm="1">
        <f t="array" ref="O308">_xlfn.SWITCH(J308,"M","Medium","D","Dark","L","Light")</f>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_xlfn.LET(_xlpm.val,_xlfn.XLOOKUP(C309,customers!$A$1:$A$1001,customers!$C$1:$C$1001,,0),IF(_xlpm.val=0,"",_xlpm.val))</f>
        <v>ebeeble8j@soundcloud.com</v>
      </c>
      <c r="H309" s="2" t="str">
        <f>_xlfn.LET(_xlpm.val,_xlfn.XLOOKUP(C309,customers!$A$1:$A$1001,customers!$G$1:$G$1001,,0),IF(_xlpm.val=0,"",_xlpm.val))</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cm="1">
        <f t="array" ref="N309">_xlfn.SWITCH(I309,"rob","Robusta","exc","Excelsa","Ara","Arabica","Lib","Liberica","")</f>
        <v>Arabica</v>
      </c>
      <c r="O309" t="str" cm="1">
        <f t="array" ref="O309">_xlfn.SWITCH(J309,"M","Medium","D","Dark","L","Light")</f>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_xlfn.LET(_xlpm.val,_xlfn.XLOOKUP(C310,customers!$A$1:$A$1001,customers!$C$1:$C$1001,,0),IF(_xlpm.val=0,"",_xlpm.val))</f>
        <v>cfluin8k@flickr.com</v>
      </c>
      <c r="H310" s="2" t="str">
        <f>_xlfn.LET(_xlpm.val,_xlfn.XLOOKUP(C310,customers!$A$1:$A$1001,customers!$G$1:$G$1001,,0),IF(_xlpm.val=0,"",_xlpm.val))</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cm="1">
        <f t="array" ref="N310">_xlfn.SWITCH(I310,"rob","Robusta","exc","Excelsa","Ara","Arabica","Lib","Liberica","")</f>
        <v>Arabica</v>
      </c>
      <c r="O310" t="str" cm="1">
        <f t="array" ref="O310">_xlfn.SWITCH(J310,"M","Medium","D","Dark","L","Light")</f>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_xlfn.LET(_xlpm.val,_xlfn.XLOOKUP(C311,customers!$A$1:$A$1001,customers!$C$1:$C$1001,,0),IF(_xlpm.val=0,"",_xlpm.val))</f>
        <v>ebletsor8l@vinaora.com</v>
      </c>
      <c r="H311" s="2" t="str">
        <f>_xlfn.LET(_xlpm.val,_xlfn.XLOOKUP(C311,customers!$A$1:$A$1001,customers!$G$1:$G$1001,,0),IF(_xlpm.val=0,"",_xlpm.val))</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cm="1">
        <f t="array" ref="N311">_xlfn.SWITCH(I311,"rob","Robusta","exc","Excelsa","Ara","Arabica","Lib","Liberica","")</f>
        <v>Liberica</v>
      </c>
      <c r="O311" t="str" cm="1">
        <f t="array" ref="O311">_xlfn.SWITCH(J311,"M","Medium","D","Dark","L","Light")</f>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_xlfn.LET(_xlpm.val,_xlfn.XLOOKUP(C312,customers!$A$1:$A$1001,customers!$C$1:$C$1001,,0),IF(_xlpm.val=0,"",_xlpm.val))</f>
        <v>pbrydell8m@bloglovin.com</v>
      </c>
      <c r="H312" s="2" t="str">
        <f>_xlfn.LET(_xlpm.val,_xlfn.XLOOKUP(C312,customers!$A$1:$A$1001,customers!$G$1:$G$1001,,0),IF(_xlpm.val=0,"",_xlpm.val))</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cm="1">
        <f t="array" ref="N312">_xlfn.SWITCH(I312,"rob","Robusta","exc","Excelsa","Ara","Arabica","Lib","Liberica","")</f>
        <v>Excelsa</v>
      </c>
      <c r="O312" t="str" cm="1">
        <f t="array" ref="O312">_xlfn.SWITCH(J312,"M","Medium","D","Dark","L","Light")</f>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_xlfn.LET(_xlpm.val,_xlfn.XLOOKUP(C313,customers!$A$1:$A$1001,customers!$C$1:$C$1001,,0),IF(_xlpm.val=0,"",_xlpm.val))</f>
        <v>crushe8n@about.me</v>
      </c>
      <c r="H313" s="2" t="str">
        <f>_xlfn.LET(_xlpm.val,_xlfn.XLOOKUP(C313,customers!$A$1:$A$1001,customers!$G$1:$G$1001,,0),IF(_xlpm.val=0,"",_xlpm.val))</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cm="1">
        <f t="array" ref="N313">_xlfn.SWITCH(I313,"rob","Robusta","exc","Excelsa","Ara","Arabica","Lib","Liberica","")</f>
        <v>Excelsa</v>
      </c>
      <c r="O313" t="str" cm="1">
        <f t="array" ref="O313">_xlfn.SWITCH(J313,"M","Medium","D","Dark","L","Light")</f>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_xlfn.LET(_xlpm.val,_xlfn.XLOOKUP(C314,customers!$A$1:$A$1001,customers!$C$1:$C$1001,,0),IF(_xlpm.val=0,"",_xlpm.val))</f>
        <v>nleethem8o@mac.com</v>
      </c>
      <c r="H314" s="2" t="str">
        <f>_xlfn.LET(_xlpm.val,_xlfn.XLOOKUP(C314,customers!$A$1:$A$1001,customers!$G$1:$G$1001,,0),IF(_xlpm.val=0,"",_xlpm.val))</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cm="1">
        <f t="array" ref="N314">_xlfn.SWITCH(I314,"rob","Robusta","exc","Excelsa","Ara","Arabica","Lib","Liberica","")</f>
        <v>Robusta</v>
      </c>
      <c r="O314" t="str" cm="1">
        <f t="array" ref="O314">_xlfn.SWITCH(J314,"M","Medium","D","Dark","L","Light")</f>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_xlfn.LET(_xlpm.val,_xlfn.XLOOKUP(C315,customers!$A$1:$A$1001,customers!$C$1:$C$1001,,0),IF(_xlpm.val=0,"",_xlpm.val))</f>
        <v>anesfield8p@people.com.cn</v>
      </c>
      <c r="H315" s="2" t="str">
        <f>_xlfn.LET(_xlpm.val,_xlfn.XLOOKUP(C315,customers!$A$1:$A$1001,customers!$G$1:$G$1001,,0),IF(_xlpm.val=0,"",_xlpm.val))</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cm="1">
        <f t="array" ref="N315">_xlfn.SWITCH(I315,"rob","Robusta","exc","Excelsa","Ara","Arabica","Lib","Liberica","")</f>
        <v>Robusta</v>
      </c>
      <c r="O315" t="str" cm="1">
        <f t="array" ref="O315">_xlfn.SWITCH(J315,"M","Medium","D","Dark","L","Light")</f>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_xlfn.LET(_xlpm.val,_xlfn.XLOOKUP(C316,customers!$A$1:$A$1001,customers!$C$1:$C$1001,,0),IF(_xlpm.val=0,"",_xlpm.val))</f>
        <v/>
      </c>
      <c r="H316" s="2" t="str">
        <f>_xlfn.LET(_xlpm.val,_xlfn.XLOOKUP(C316,customers!$A$1:$A$1001,customers!$G$1:$G$1001,,0),IF(_xlpm.val=0,"",_xlpm.val))</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cm="1">
        <f t="array" ref="N316">_xlfn.SWITCH(I316,"rob","Robusta","exc","Excelsa","Ara","Arabica","Lib","Liberica","")</f>
        <v>Robusta</v>
      </c>
      <c r="O316" t="str" cm="1">
        <f t="array" ref="O316">_xlfn.SWITCH(J316,"M","Medium","D","Dark","L","Light")</f>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_xlfn.LET(_xlpm.val,_xlfn.XLOOKUP(C317,customers!$A$1:$A$1001,customers!$C$1:$C$1001,,0),IF(_xlpm.val=0,"",_xlpm.val))</f>
        <v>mbrockway8r@ibm.com</v>
      </c>
      <c r="H317" s="2" t="str">
        <f>_xlfn.LET(_xlpm.val,_xlfn.XLOOKUP(C317,customers!$A$1:$A$1001,customers!$G$1:$G$1001,,0),IF(_xlpm.val=0,"",_xlpm.val))</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cm="1">
        <f t="array" ref="N317">_xlfn.SWITCH(I317,"rob","Robusta","exc","Excelsa","Ara","Arabica","Lib","Liberica","")</f>
        <v>Excelsa</v>
      </c>
      <c r="O317" t="str" cm="1">
        <f t="array" ref="O317">_xlfn.SWITCH(J317,"M","Medium","D","Dark","L","Light")</f>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_xlfn.LET(_xlpm.val,_xlfn.XLOOKUP(C318,customers!$A$1:$A$1001,customers!$C$1:$C$1001,,0),IF(_xlpm.val=0,"",_xlpm.val))</f>
        <v>nlush8s@dedecms.com</v>
      </c>
      <c r="H318" s="2" t="str">
        <f>_xlfn.LET(_xlpm.val,_xlfn.XLOOKUP(C318,customers!$A$1:$A$1001,customers!$G$1:$G$1001,,0),IF(_xlpm.val=0,"",_xlpm.val))</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cm="1">
        <f t="array" ref="N318">_xlfn.SWITCH(I318,"rob","Robusta","exc","Excelsa","Ara","Arabica","Lib","Liberica","")</f>
        <v>Excelsa</v>
      </c>
      <c r="O318" t="str" cm="1">
        <f t="array" ref="O318">_xlfn.SWITCH(J318,"M","Medium","D","Dark","L","Light")</f>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_xlfn.LET(_xlpm.val,_xlfn.XLOOKUP(C319,customers!$A$1:$A$1001,customers!$C$1:$C$1001,,0),IF(_xlpm.val=0,"",_xlpm.val))</f>
        <v>smcmillian8t@csmonitor.com</v>
      </c>
      <c r="H319" s="2" t="str">
        <f>_xlfn.LET(_xlpm.val,_xlfn.XLOOKUP(C319,customers!$A$1:$A$1001,customers!$G$1:$G$1001,,0),IF(_xlpm.val=0,"",_xlpm.val))</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cm="1">
        <f t="array" ref="N319">_xlfn.SWITCH(I319,"rob","Robusta","exc","Excelsa","Ara","Arabica","Lib","Liberica","")</f>
        <v>Excelsa</v>
      </c>
      <c r="O319" t="str" cm="1">
        <f t="array" ref="O319">_xlfn.SWITCH(J319,"M","Medium","D","Dark","L","Light")</f>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_xlfn.LET(_xlpm.val,_xlfn.XLOOKUP(C320,customers!$A$1:$A$1001,customers!$C$1:$C$1001,,0),IF(_xlpm.val=0,"",_xlpm.val))</f>
        <v>tbennison8u@google.cn</v>
      </c>
      <c r="H320" s="2" t="str">
        <f>_xlfn.LET(_xlpm.val,_xlfn.XLOOKUP(C320,customers!$A$1:$A$1001,customers!$G$1:$G$1001,,0),IF(_xlpm.val=0,"",_xlpm.val))</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cm="1">
        <f t="array" ref="N320">_xlfn.SWITCH(I320,"rob","Robusta","exc","Excelsa","Ara","Arabica","Lib","Liberica","")</f>
        <v>Arabica</v>
      </c>
      <c r="O320" t="str" cm="1">
        <f t="array" ref="O320">_xlfn.SWITCH(J320,"M","Medium","D","Dark","L","Light")</f>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_xlfn.LET(_xlpm.val,_xlfn.XLOOKUP(C321,customers!$A$1:$A$1001,customers!$C$1:$C$1001,,0),IF(_xlpm.val=0,"",_xlpm.val))</f>
        <v>gtweed8v@yolasite.com</v>
      </c>
      <c r="H321" s="2" t="str">
        <f>_xlfn.LET(_xlpm.val,_xlfn.XLOOKUP(C321,customers!$A$1:$A$1001,customers!$G$1:$G$1001,,0),IF(_xlpm.val=0,"",_xlpm.val))</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cm="1">
        <f t="array" ref="N321">_xlfn.SWITCH(I321,"rob","Robusta","exc","Excelsa","Ara","Arabica","Lib","Liberica","")</f>
        <v>Excelsa</v>
      </c>
      <c r="O321" t="str" cm="1">
        <f t="array" ref="O321">_xlfn.SWITCH(J321,"M","Medium","D","Dark","L","Light")</f>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_xlfn.LET(_xlpm.val,_xlfn.XLOOKUP(C322,customers!$A$1:$A$1001,customers!$C$1:$C$1001,,0),IF(_xlpm.val=0,"",_xlpm.val))</f>
        <v>gtweed8v@yolasite.com</v>
      </c>
      <c r="H322" s="2" t="str">
        <f>_xlfn.LET(_xlpm.val,_xlfn.XLOOKUP(C322,customers!$A$1:$A$1001,customers!$G$1:$G$1001,,0),IF(_xlpm.val=0,"",_xlpm.val))</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cm="1">
        <f t="array" ref="N322">_xlfn.SWITCH(I322,"rob","Robusta","exc","Excelsa","Ara","Arabica","Lib","Liberica","")</f>
        <v>Arabica</v>
      </c>
      <c r="O322" t="str" cm="1">
        <f t="array" ref="O322">_xlfn.SWITCH(J322,"M","Medium","D","Dark","L","Light")</f>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_xlfn.LET(_xlpm.val,_xlfn.XLOOKUP(C323,customers!$A$1:$A$1001,customers!$C$1:$C$1001,,0),IF(_xlpm.val=0,"",_xlpm.val))</f>
        <v>ggoggin8x@wix.com</v>
      </c>
      <c r="H323" s="2" t="str">
        <f>_xlfn.LET(_xlpm.val,_xlfn.XLOOKUP(C323,customers!$A$1:$A$1001,customers!$G$1:$G$1001,,0),IF(_xlpm.val=0,"",_xlpm.val))</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L323*E323</f>
        <v>20.25</v>
      </c>
      <c r="N323" t="str" cm="1">
        <f t="array" ref="N323">_xlfn.SWITCH(I323,"rob","Robusta","exc","Excelsa","Ara","Arabica","Lib","Liberica","")</f>
        <v>Arabica</v>
      </c>
      <c r="O323" t="str" cm="1">
        <f t="array" ref="O323">_xlfn.SWITCH(J323,"M","Medium","D","Dark","L","Light")</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_xlfn.LET(_xlpm.val,_xlfn.XLOOKUP(C324,customers!$A$1:$A$1001,customers!$C$1:$C$1001,,0),IF(_xlpm.val=0,"",_xlpm.val))</f>
        <v>sjeyness8y@biglobe.ne.jp</v>
      </c>
      <c r="H324" s="2" t="str">
        <f>_xlfn.LET(_xlpm.val,_xlfn.XLOOKUP(C324,customers!$A$1:$A$1001,customers!$G$1:$G$1001,,0),IF(_xlpm.val=0,"",_xlpm.val))</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cm="1">
        <f t="array" ref="N324">_xlfn.SWITCH(I324,"rob","Robusta","exc","Excelsa","Ara","Arabica","Lib","Liberica","")</f>
        <v>Liberica</v>
      </c>
      <c r="O324" t="str" cm="1">
        <f t="array" ref="O324">_xlfn.SWITCH(J324,"M","Medium","D","Dark","L","Light")</f>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_xlfn.LET(_xlpm.val,_xlfn.XLOOKUP(C325,customers!$A$1:$A$1001,customers!$C$1:$C$1001,,0),IF(_xlpm.val=0,"",_xlpm.val))</f>
        <v>dbonhome8z@shinystat.com</v>
      </c>
      <c r="H325" s="2" t="str">
        <f>_xlfn.LET(_xlpm.val,_xlfn.XLOOKUP(C325,customers!$A$1:$A$1001,customers!$G$1:$G$1001,,0),IF(_xlpm.val=0,"",_xlpm.val))</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cm="1">
        <f t="array" ref="N325">_xlfn.SWITCH(I325,"rob","Robusta","exc","Excelsa","Ara","Arabica","Lib","Liberica","")</f>
        <v>Excelsa</v>
      </c>
      <c r="O325" t="str" cm="1">
        <f t="array" ref="O325">_xlfn.SWITCH(J325,"M","Medium","D","Dark","L","Light")</f>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_xlfn.LET(_xlpm.val,_xlfn.XLOOKUP(C326,customers!$A$1:$A$1001,customers!$C$1:$C$1001,,0),IF(_xlpm.val=0,"",_xlpm.val))</f>
        <v/>
      </c>
      <c r="H326" s="2" t="str">
        <f>_xlfn.LET(_xlpm.val,_xlfn.XLOOKUP(C326,customers!$A$1:$A$1001,customers!$G$1:$G$1001,,0),IF(_xlpm.val=0,"",_xlpm.val))</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cm="1">
        <f t="array" ref="N326">_xlfn.SWITCH(I326,"rob","Robusta","exc","Excelsa","Ara","Arabica","Lib","Liberica","")</f>
        <v>Excelsa</v>
      </c>
      <c r="O326" t="str" cm="1">
        <f t="array" ref="O326">_xlfn.SWITCH(J326,"M","Medium","D","Dark","L","Light")</f>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_xlfn.LET(_xlpm.val,_xlfn.XLOOKUP(C327,customers!$A$1:$A$1001,customers!$C$1:$C$1001,,0),IF(_xlpm.val=0,"",_xlpm.val))</f>
        <v>tle91@epa.gov</v>
      </c>
      <c r="H327" s="2" t="str">
        <f>_xlfn.LET(_xlpm.val,_xlfn.XLOOKUP(C327,customers!$A$1:$A$1001,customers!$G$1:$G$1001,,0),IF(_xlpm.val=0,"",_xlpm.val))</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cm="1">
        <f t="array" ref="N327">_xlfn.SWITCH(I327,"rob","Robusta","exc","Excelsa","Ara","Arabica","Lib","Liberica","")</f>
        <v>Arabica</v>
      </c>
      <c r="O327" t="str" cm="1">
        <f t="array" ref="O327">_xlfn.SWITCH(J327,"M","Medium","D","Dark","L","Light")</f>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_xlfn.LET(_xlpm.val,_xlfn.XLOOKUP(C328,customers!$A$1:$A$1001,customers!$C$1:$C$1001,,0),IF(_xlpm.val=0,"",_xlpm.val))</f>
        <v/>
      </c>
      <c r="H328" s="2" t="str">
        <f>_xlfn.LET(_xlpm.val,_xlfn.XLOOKUP(C328,customers!$A$1:$A$1001,customers!$G$1:$G$1001,,0),IF(_xlpm.val=0,"",_xlpm.val))</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cm="1">
        <f t="array" ref="N328">_xlfn.SWITCH(I328,"rob","Robusta","exc","Excelsa","Ara","Arabica","Lib","Liberica","")</f>
        <v>Robusta</v>
      </c>
      <c r="O328" t="str" cm="1">
        <f t="array" ref="O328">_xlfn.SWITCH(J328,"M","Medium","D","Dark","L","Light")</f>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_xlfn.LET(_xlpm.val,_xlfn.XLOOKUP(C329,customers!$A$1:$A$1001,customers!$C$1:$C$1001,,0),IF(_xlpm.val=0,"",_xlpm.val))</f>
        <v>balldridge93@yandex.ru</v>
      </c>
      <c r="H329" s="2" t="str">
        <f>_xlfn.LET(_xlpm.val,_xlfn.XLOOKUP(C329,customers!$A$1:$A$1001,customers!$G$1:$G$1001,,0),IF(_xlpm.val=0,"",_xlpm.val))</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cm="1">
        <f t="array" ref="N329">_xlfn.SWITCH(I329,"rob","Robusta","exc","Excelsa","Ara","Arabica","Lib","Liberica","")</f>
        <v>Robusta</v>
      </c>
      <c r="O329" t="str" cm="1">
        <f t="array" ref="O329">_xlfn.SWITCH(J329,"M","Medium","D","Dark","L","Light")</f>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_xlfn.LET(_xlpm.val,_xlfn.XLOOKUP(C330,customers!$A$1:$A$1001,customers!$C$1:$C$1001,,0),IF(_xlpm.val=0,"",_xlpm.val))</f>
        <v/>
      </c>
      <c r="H330" s="2" t="str">
        <f>_xlfn.LET(_xlpm.val,_xlfn.XLOOKUP(C330,customers!$A$1:$A$1001,customers!$G$1:$G$1001,,0),IF(_xlpm.val=0,"",_xlpm.val))</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cm="1">
        <f t="array" ref="N330">_xlfn.SWITCH(I330,"rob","Robusta","exc","Excelsa","Ara","Arabica","Lib","Liberica","")</f>
        <v>Liberica</v>
      </c>
      <c r="O330" t="str" cm="1">
        <f t="array" ref="O330">_xlfn.SWITCH(J330,"M","Medium","D","Dark","L","Light")</f>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_xlfn.LET(_xlpm.val,_xlfn.XLOOKUP(C331,customers!$A$1:$A$1001,customers!$C$1:$C$1001,,0),IF(_xlpm.val=0,"",_xlpm.val))</f>
        <v>lgoodger95@guardian.co.uk</v>
      </c>
      <c r="H331" s="2" t="str">
        <f>_xlfn.LET(_xlpm.val,_xlfn.XLOOKUP(C331,customers!$A$1:$A$1001,customers!$G$1:$G$1001,,0),IF(_xlpm.val=0,"",_xlpm.val))</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cm="1">
        <f t="array" ref="N331">_xlfn.SWITCH(I331,"rob","Robusta","exc","Excelsa","Ara","Arabica","Lib","Liberica","")</f>
        <v>Robusta</v>
      </c>
      <c r="O331" t="str" cm="1">
        <f t="array" ref="O331">_xlfn.SWITCH(J331,"M","Medium","D","Dark","L","Light")</f>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_xlfn.LET(_xlpm.val,_xlfn.XLOOKUP(C332,customers!$A$1:$A$1001,customers!$C$1:$C$1001,,0),IF(_xlpm.val=0,"",_xlpm.val))</f>
        <v>smcmillian8t@csmonitor.com</v>
      </c>
      <c r="H332" s="2" t="str">
        <f>_xlfn.LET(_xlpm.val,_xlfn.XLOOKUP(C332,customers!$A$1:$A$1001,customers!$G$1:$G$1001,,0),IF(_xlpm.val=0,"",_xlpm.val))</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cm="1">
        <f t="array" ref="N332">_xlfn.SWITCH(I332,"rob","Robusta","exc","Excelsa","Ara","Arabica","Lib","Liberica","")</f>
        <v>Robusta</v>
      </c>
      <c r="O332" t="str" cm="1">
        <f t="array" ref="O332">_xlfn.SWITCH(J332,"M","Medium","D","Dark","L","Light")</f>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_xlfn.LET(_xlpm.val,_xlfn.XLOOKUP(C333,customers!$A$1:$A$1001,customers!$C$1:$C$1001,,0),IF(_xlpm.val=0,"",_xlpm.val))</f>
        <v>cdrewett97@wikipedia.org</v>
      </c>
      <c r="H333" s="2" t="str">
        <f>_xlfn.LET(_xlpm.val,_xlfn.XLOOKUP(C333,customers!$A$1:$A$1001,customers!$G$1:$G$1001,,0),IF(_xlpm.val=0,"",_xlpm.val))</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cm="1">
        <f t="array" ref="N333">_xlfn.SWITCH(I333,"rob","Robusta","exc","Excelsa","Ara","Arabica","Lib","Liberica","")</f>
        <v>Robusta</v>
      </c>
      <c r="O333" t="str" cm="1">
        <f t="array" ref="O333">_xlfn.SWITCH(J333,"M","Medium","D","Dark","L","Light")</f>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_xlfn.LET(_xlpm.val,_xlfn.XLOOKUP(C334,customers!$A$1:$A$1001,customers!$C$1:$C$1001,,0),IF(_xlpm.val=0,"",_xlpm.val))</f>
        <v>qparsons98@blogtalkradio.com</v>
      </c>
      <c r="H334" s="2" t="str">
        <f>_xlfn.LET(_xlpm.val,_xlfn.XLOOKUP(C334,customers!$A$1:$A$1001,customers!$G$1:$G$1001,,0),IF(_xlpm.val=0,"",_xlpm.val))</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cm="1">
        <f t="array" ref="N334">_xlfn.SWITCH(I334,"rob","Robusta","exc","Excelsa","Ara","Arabica","Lib","Liberica","")</f>
        <v>Arabica</v>
      </c>
      <c r="O334" t="str" cm="1">
        <f t="array" ref="O334">_xlfn.SWITCH(J334,"M","Medium","D","Dark","L","Light")</f>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_xlfn.LET(_xlpm.val,_xlfn.XLOOKUP(C335,customers!$A$1:$A$1001,customers!$C$1:$C$1001,,0),IF(_xlpm.val=0,"",_xlpm.val))</f>
        <v>vceely99@auda.org.au</v>
      </c>
      <c r="H335" s="2" t="str">
        <f>_xlfn.LET(_xlpm.val,_xlfn.XLOOKUP(C335,customers!$A$1:$A$1001,customers!$G$1:$G$1001,,0),IF(_xlpm.val=0,"",_xlpm.val))</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cm="1">
        <f t="array" ref="N335">_xlfn.SWITCH(I335,"rob","Robusta","exc","Excelsa","Ara","Arabica","Lib","Liberica","")</f>
        <v>Robusta</v>
      </c>
      <c r="O335" t="str" cm="1">
        <f t="array" ref="O335">_xlfn.SWITCH(J335,"M","Medium","D","Dark","L","Light")</f>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_xlfn.LET(_xlpm.val,_xlfn.XLOOKUP(C336,customers!$A$1:$A$1001,customers!$C$1:$C$1001,,0),IF(_xlpm.val=0,"",_xlpm.val))</f>
        <v/>
      </c>
      <c r="H336" s="2" t="str">
        <f>_xlfn.LET(_xlpm.val,_xlfn.XLOOKUP(C336,customers!$A$1:$A$1001,customers!$G$1:$G$1001,,0),IF(_xlpm.val=0,"",_xlpm.val))</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cm="1">
        <f t="array" ref="N336">_xlfn.SWITCH(I336,"rob","Robusta","exc","Excelsa","Ara","Arabica","Lib","Liberica","")</f>
        <v>Robusta</v>
      </c>
      <c r="O336" t="str" cm="1">
        <f t="array" ref="O336">_xlfn.SWITCH(J336,"M","Medium","D","Dark","L","Light")</f>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_xlfn.LET(_xlpm.val,_xlfn.XLOOKUP(C337,customers!$A$1:$A$1001,customers!$C$1:$C$1001,,0),IF(_xlpm.val=0,"",_xlpm.val))</f>
        <v>cvasiliev9b@discuz.net</v>
      </c>
      <c r="H337" s="2" t="str">
        <f>_xlfn.LET(_xlpm.val,_xlfn.XLOOKUP(C337,customers!$A$1:$A$1001,customers!$G$1:$G$1001,,0),IF(_xlpm.val=0,"",_xlpm.val))</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cm="1">
        <f t="array" ref="N337">_xlfn.SWITCH(I337,"rob","Robusta","exc","Excelsa","Ara","Arabica","Lib","Liberica","")</f>
        <v>Liberica</v>
      </c>
      <c r="O337" t="str" cm="1">
        <f t="array" ref="O337">_xlfn.SWITCH(J337,"M","Medium","D","Dark","L","Light")</f>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_xlfn.LET(_xlpm.val,_xlfn.XLOOKUP(C338,customers!$A$1:$A$1001,customers!$C$1:$C$1001,,0),IF(_xlpm.val=0,"",_xlpm.val))</f>
        <v>tomoylan9c@liveinternet.ru</v>
      </c>
      <c r="H338" s="2" t="str">
        <f>_xlfn.LET(_xlpm.val,_xlfn.XLOOKUP(C338,customers!$A$1:$A$1001,customers!$G$1:$G$1001,,0),IF(_xlpm.val=0,"",_xlpm.val))</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cm="1">
        <f t="array" ref="N338">_xlfn.SWITCH(I338,"rob","Robusta","exc","Excelsa","Ara","Arabica","Lib","Liberica","")</f>
        <v>Arabica</v>
      </c>
      <c r="O338" t="str" cm="1">
        <f t="array" ref="O338">_xlfn.SWITCH(J338,"M","Medium","D","Dark","L","Light")</f>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_xlfn.LET(_xlpm.val,_xlfn.XLOOKUP(C339,customers!$A$1:$A$1001,customers!$C$1:$C$1001,,0),IF(_xlpm.val=0,"",_xlpm.val))</f>
        <v/>
      </c>
      <c r="H339" s="2" t="str">
        <f>_xlfn.LET(_xlpm.val,_xlfn.XLOOKUP(C339,customers!$A$1:$A$1001,customers!$G$1:$G$1001,,0),IF(_xlpm.val=0,"",_xlpm.val))</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cm="1">
        <f t="array" ref="N339">_xlfn.SWITCH(I339,"rob","Robusta","exc","Excelsa","Ara","Arabica","Lib","Liberica","")</f>
        <v>Excelsa</v>
      </c>
      <c r="O339" t="str" cm="1">
        <f t="array" ref="O339">_xlfn.SWITCH(J339,"M","Medium","D","Dark","L","Light")</f>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_xlfn.LET(_xlpm.val,_xlfn.XLOOKUP(C340,customers!$A$1:$A$1001,customers!$C$1:$C$1001,,0),IF(_xlpm.val=0,"",_xlpm.val))</f>
        <v>wfetherston9e@constantcontact.com</v>
      </c>
      <c r="H340" s="2" t="str">
        <f>_xlfn.LET(_xlpm.val,_xlfn.XLOOKUP(C340,customers!$A$1:$A$1001,customers!$G$1:$G$1001,,0),IF(_xlpm.val=0,"",_xlpm.val))</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cm="1">
        <f t="array" ref="N340">_xlfn.SWITCH(I340,"rob","Robusta","exc","Excelsa","Ara","Arabica","Lib","Liberica","")</f>
        <v>Excelsa</v>
      </c>
      <c r="O340" t="str" cm="1">
        <f t="array" ref="O340">_xlfn.SWITCH(J340,"M","Medium","D","Dark","L","Light")</f>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_xlfn.LET(_xlpm.val,_xlfn.XLOOKUP(C341,customers!$A$1:$A$1001,customers!$C$1:$C$1001,,0),IF(_xlpm.val=0,"",_xlpm.val))</f>
        <v>erasmus9f@techcrunch.com</v>
      </c>
      <c r="H341" s="2" t="str">
        <f>_xlfn.LET(_xlpm.val,_xlfn.XLOOKUP(C341,customers!$A$1:$A$1001,customers!$G$1:$G$1001,,0),IF(_xlpm.val=0,"",_xlpm.val))</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cm="1">
        <f t="array" ref="N341">_xlfn.SWITCH(I341,"rob","Robusta","exc","Excelsa","Ara","Arabica","Lib","Liberica","")</f>
        <v>Excelsa</v>
      </c>
      <c r="O341" t="str" cm="1">
        <f t="array" ref="O341">_xlfn.SWITCH(J341,"M","Medium","D","Dark","L","Light")</f>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_xlfn.LET(_xlpm.val,_xlfn.XLOOKUP(C342,customers!$A$1:$A$1001,customers!$C$1:$C$1001,,0),IF(_xlpm.val=0,"",_xlpm.val))</f>
        <v>wgiorgioni9g@wikipedia.org</v>
      </c>
      <c r="H342" s="2" t="str">
        <f>_xlfn.LET(_xlpm.val,_xlfn.XLOOKUP(C342,customers!$A$1:$A$1001,customers!$G$1:$G$1001,,0),IF(_xlpm.val=0,"",_xlpm.val))</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cm="1">
        <f t="array" ref="N342">_xlfn.SWITCH(I342,"rob","Robusta","exc","Excelsa","Ara","Arabica","Lib","Liberica","")</f>
        <v>Excelsa</v>
      </c>
      <c r="O342" t="str" cm="1">
        <f t="array" ref="O342">_xlfn.SWITCH(J342,"M","Medium","D","Dark","L","Light")</f>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_xlfn.LET(_xlpm.val,_xlfn.XLOOKUP(C343,customers!$A$1:$A$1001,customers!$C$1:$C$1001,,0),IF(_xlpm.val=0,"",_xlpm.val))</f>
        <v>lscargle9h@myspace.com</v>
      </c>
      <c r="H343" s="2" t="str">
        <f>_xlfn.LET(_xlpm.val,_xlfn.XLOOKUP(C343,customers!$A$1:$A$1001,customers!$G$1:$G$1001,,0),IF(_xlpm.val=0,"",_xlpm.val))</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cm="1">
        <f t="array" ref="N343">_xlfn.SWITCH(I343,"rob","Robusta","exc","Excelsa","Ara","Arabica","Lib","Liberica","")</f>
        <v>Excelsa</v>
      </c>
      <c r="O343" t="str" cm="1">
        <f t="array" ref="O343">_xlfn.SWITCH(J343,"M","Medium","D","Dark","L","Light")</f>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_xlfn.LET(_xlpm.val,_xlfn.XLOOKUP(C344,customers!$A$1:$A$1001,customers!$C$1:$C$1001,,0),IF(_xlpm.val=0,"",_xlpm.val))</f>
        <v>lscargle9h@myspace.com</v>
      </c>
      <c r="H344" s="2" t="str">
        <f>_xlfn.LET(_xlpm.val,_xlfn.XLOOKUP(C344,customers!$A$1:$A$1001,customers!$G$1:$G$1001,,0),IF(_xlpm.val=0,"",_xlpm.val))</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cm="1">
        <f t="array" ref="N344">_xlfn.SWITCH(I344,"rob","Robusta","exc","Excelsa","Ara","Arabica","Lib","Liberica","")</f>
        <v>Liberica</v>
      </c>
      <c r="O344" t="str" cm="1">
        <f t="array" ref="O344">_xlfn.SWITCH(J344,"M","Medium","D","Dark","L","Light")</f>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_xlfn.LET(_xlpm.val,_xlfn.XLOOKUP(C345,customers!$A$1:$A$1001,customers!$C$1:$C$1001,,0),IF(_xlpm.val=0,"",_xlpm.val))</f>
        <v>nclimance9j@europa.eu</v>
      </c>
      <c r="H345" s="2" t="str">
        <f>_xlfn.LET(_xlpm.val,_xlfn.XLOOKUP(C345,customers!$A$1:$A$1001,customers!$G$1:$G$1001,,0),IF(_xlpm.val=0,"",_xlpm.val))</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cm="1">
        <f t="array" ref="N345">_xlfn.SWITCH(I345,"rob","Robusta","exc","Excelsa","Ara","Arabica","Lib","Liberica","")</f>
        <v>Robusta</v>
      </c>
      <c r="O345" t="str" cm="1">
        <f t="array" ref="O345">_xlfn.SWITCH(J345,"M","Medium","D","Dark","L","Light")</f>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_xlfn.LET(_xlpm.val,_xlfn.XLOOKUP(C346,customers!$A$1:$A$1001,customers!$C$1:$C$1001,,0),IF(_xlpm.val=0,"",_xlpm.val))</f>
        <v/>
      </c>
      <c r="H346" s="2" t="str">
        <f>_xlfn.LET(_xlpm.val,_xlfn.XLOOKUP(C346,customers!$A$1:$A$1001,customers!$G$1:$G$1001,,0),IF(_xlpm.val=0,"",_xlpm.val))</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cm="1">
        <f t="array" ref="N346">_xlfn.SWITCH(I346,"rob","Robusta","exc","Excelsa","Ara","Arabica","Lib","Liberica","")</f>
        <v>Robusta</v>
      </c>
      <c r="O346" t="str" cm="1">
        <f t="array" ref="O346">_xlfn.SWITCH(J346,"M","Medium","D","Dark","L","Light")</f>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_xlfn.LET(_xlpm.val,_xlfn.XLOOKUP(C347,customers!$A$1:$A$1001,customers!$C$1:$C$1001,,0),IF(_xlpm.val=0,"",_xlpm.val))</f>
        <v>asnazle9l@oracle.com</v>
      </c>
      <c r="H347" s="2" t="str">
        <f>_xlfn.LET(_xlpm.val,_xlfn.XLOOKUP(C347,customers!$A$1:$A$1001,customers!$G$1:$G$1001,,0),IF(_xlpm.val=0,"",_xlpm.val))</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cm="1">
        <f t="array" ref="N347">_xlfn.SWITCH(I347,"rob","Robusta","exc","Excelsa","Ara","Arabica","Lib","Liberica","")</f>
        <v>Robusta</v>
      </c>
      <c r="O347" t="str" cm="1">
        <f t="array" ref="O347">_xlfn.SWITCH(J347,"M","Medium","D","Dark","L","Light")</f>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_xlfn.LET(_xlpm.val,_xlfn.XLOOKUP(C348,customers!$A$1:$A$1001,customers!$C$1:$C$1001,,0),IF(_xlpm.val=0,"",_xlpm.val))</f>
        <v>rworg9m@arstechnica.com</v>
      </c>
      <c r="H348" s="2" t="str">
        <f>_xlfn.LET(_xlpm.val,_xlfn.XLOOKUP(C348,customers!$A$1:$A$1001,customers!$G$1:$G$1001,,0),IF(_xlpm.val=0,"",_xlpm.val))</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cm="1">
        <f t="array" ref="N348">_xlfn.SWITCH(I348,"rob","Robusta","exc","Excelsa","Ara","Arabica","Lib","Liberica","")</f>
        <v>Arabica</v>
      </c>
      <c r="O348" t="str" cm="1">
        <f t="array" ref="O348">_xlfn.SWITCH(J348,"M","Medium","D","Dark","L","Light")</f>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_xlfn.LET(_xlpm.val,_xlfn.XLOOKUP(C349,customers!$A$1:$A$1001,customers!$C$1:$C$1001,,0),IF(_xlpm.val=0,"",_xlpm.val))</f>
        <v>ldanes9n@umn.edu</v>
      </c>
      <c r="H349" s="2" t="str">
        <f>_xlfn.LET(_xlpm.val,_xlfn.XLOOKUP(C349,customers!$A$1:$A$1001,customers!$G$1:$G$1001,,0),IF(_xlpm.val=0,"",_xlpm.val))</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cm="1">
        <f t="array" ref="N349">_xlfn.SWITCH(I349,"rob","Robusta","exc","Excelsa","Ara","Arabica","Lib","Liberica","")</f>
        <v>Liberica</v>
      </c>
      <c r="O349" t="str" cm="1">
        <f t="array" ref="O349">_xlfn.SWITCH(J349,"M","Medium","D","Dark","L","Light")</f>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_xlfn.LET(_xlpm.val,_xlfn.XLOOKUP(C350,customers!$A$1:$A$1001,customers!$C$1:$C$1001,,0),IF(_xlpm.val=0,"",_xlpm.val))</f>
        <v>skeynd9o@narod.ru</v>
      </c>
      <c r="H350" s="2" t="str">
        <f>_xlfn.LET(_xlpm.val,_xlfn.XLOOKUP(C350,customers!$A$1:$A$1001,customers!$G$1:$G$1001,,0),IF(_xlpm.val=0,"",_xlpm.val))</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cm="1">
        <f t="array" ref="N350">_xlfn.SWITCH(I350,"rob","Robusta","exc","Excelsa","Ara","Arabica","Lib","Liberica","")</f>
        <v>Excelsa</v>
      </c>
      <c r="O350" t="str" cm="1">
        <f t="array" ref="O350">_xlfn.SWITCH(J350,"M","Medium","D","Dark","L","Light")</f>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_xlfn.LET(_xlpm.val,_xlfn.XLOOKUP(C351,customers!$A$1:$A$1001,customers!$C$1:$C$1001,,0),IF(_xlpm.val=0,"",_xlpm.val))</f>
        <v>ddaveridge9p@arstechnica.com</v>
      </c>
      <c r="H351" s="2" t="str">
        <f>_xlfn.LET(_xlpm.val,_xlfn.XLOOKUP(C351,customers!$A$1:$A$1001,customers!$G$1:$G$1001,,0),IF(_xlpm.val=0,"",_xlpm.val))</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cm="1">
        <f t="array" ref="N351">_xlfn.SWITCH(I351,"rob","Robusta","exc","Excelsa","Ara","Arabica","Lib","Liberica","")</f>
        <v>Robusta</v>
      </c>
      <c r="O351" t="str" cm="1">
        <f t="array" ref="O351">_xlfn.SWITCH(J351,"M","Medium","D","Dark","L","Light")</f>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_xlfn.LET(_xlpm.val,_xlfn.XLOOKUP(C352,customers!$A$1:$A$1001,customers!$C$1:$C$1001,,0),IF(_xlpm.val=0,"",_xlpm.val))</f>
        <v>jawdry9q@utexas.edu</v>
      </c>
      <c r="H352" s="2" t="str">
        <f>_xlfn.LET(_xlpm.val,_xlfn.XLOOKUP(C352,customers!$A$1:$A$1001,customers!$G$1:$G$1001,,0),IF(_xlpm.val=0,"",_xlpm.val))</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cm="1">
        <f t="array" ref="N352">_xlfn.SWITCH(I352,"rob","Robusta","exc","Excelsa","Ara","Arabica","Lib","Liberica","")</f>
        <v>Arabica</v>
      </c>
      <c r="O352" t="str" cm="1">
        <f t="array" ref="O352">_xlfn.SWITCH(J352,"M","Medium","D","Dark","L","Light")</f>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_xlfn.LET(_xlpm.val,_xlfn.XLOOKUP(C353,customers!$A$1:$A$1001,customers!$C$1:$C$1001,,0),IF(_xlpm.val=0,"",_xlpm.val))</f>
        <v>eryles9r@fastcompany.com</v>
      </c>
      <c r="H353" s="2" t="str">
        <f>_xlfn.LET(_xlpm.val,_xlfn.XLOOKUP(C353,customers!$A$1:$A$1001,customers!$G$1:$G$1001,,0),IF(_xlpm.val=0,"",_xlpm.val))</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cm="1">
        <f t="array" ref="N353">_xlfn.SWITCH(I353,"rob","Robusta","exc","Excelsa","Ara","Arabica","Lib","Liberica","")</f>
        <v>Arabica</v>
      </c>
      <c r="O353" t="str" cm="1">
        <f t="array" ref="O353">_xlfn.SWITCH(J353,"M","Medium","D","Dark","L","Light")</f>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_xlfn.LET(_xlpm.val,_xlfn.XLOOKUP(C354,customers!$A$1:$A$1001,customers!$C$1:$C$1001,,0),IF(_xlpm.val=0,"",_xlpm.val))</f>
        <v/>
      </c>
      <c r="H354" s="2" t="str">
        <f>_xlfn.LET(_xlpm.val,_xlfn.XLOOKUP(C354,customers!$A$1:$A$1001,customers!$G$1:$G$1001,,0),IF(_xlpm.val=0,"",_xlpm.val))</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cm="1">
        <f t="array" ref="N354">_xlfn.SWITCH(I354,"rob","Robusta","exc","Excelsa","Ara","Arabica","Lib","Liberica","")</f>
        <v>Excelsa</v>
      </c>
      <c r="O354" t="str" cm="1">
        <f t="array" ref="O354">_xlfn.SWITCH(J354,"M","Medium","D","Dark","L","Light")</f>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_xlfn.LET(_xlpm.val,_xlfn.XLOOKUP(C355,customers!$A$1:$A$1001,customers!$C$1:$C$1001,,0),IF(_xlpm.val=0,"",_xlpm.val))</f>
        <v/>
      </c>
      <c r="H355" s="2" t="str">
        <f>_xlfn.LET(_xlpm.val,_xlfn.XLOOKUP(C355,customers!$A$1:$A$1001,customers!$G$1:$G$1001,,0),IF(_xlpm.val=0,"",_xlpm.val))</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cm="1">
        <f t="array" ref="N355">_xlfn.SWITCH(I355,"rob","Robusta","exc","Excelsa","Ara","Arabica","Lib","Liberica","")</f>
        <v>Arabica</v>
      </c>
      <c r="O355" t="str" cm="1">
        <f t="array" ref="O355">_xlfn.SWITCH(J355,"M","Medium","D","Dark","L","Light")</f>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_xlfn.LET(_xlpm.val,_xlfn.XLOOKUP(C356,customers!$A$1:$A$1001,customers!$C$1:$C$1001,,0),IF(_xlpm.val=0,"",_xlpm.val))</f>
        <v>jcaldicott9u@usda.gov</v>
      </c>
      <c r="H356" s="2" t="str">
        <f>_xlfn.LET(_xlpm.val,_xlfn.XLOOKUP(C356,customers!$A$1:$A$1001,customers!$G$1:$G$1001,,0),IF(_xlpm.val=0,"",_xlpm.val))</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cm="1">
        <f t="array" ref="N356">_xlfn.SWITCH(I356,"rob","Robusta","exc","Excelsa","Ara","Arabica","Lib","Liberica","")</f>
        <v>Arabica</v>
      </c>
      <c r="O356" t="str" cm="1">
        <f t="array" ref="O356">_xlfn.SWITCH(J356,"M","Medium","D","Dark","L","Light")</f>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_xlfn.LET(_xlpm.val,_xlfn.XLOOKUP(C357,customers!$A$1:$A$1001,customers!$C$1:$C$1001,,0),IF(_xlpm.val=0,"",_xlpm.val))</f>
        <v>mvedmore9v@a8.net</v>
      </c>
      <c r="H357" s="2" t="str">
        <f>_xlfn.LET(_xlpm.val,_xlfn.XLOOKUP(C357,customers!$A$1:$A$1001,customers!$G$1:$G$1001,,0),IF(_xlpm.val=0,"",_xlpm.val))</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cm="1">
        <f t="array" ref="N357">_xlfn.SWITCH(I357,"rob","Robusta","exc","Excelsa","Ara","Arabica","Lib","Liberica","")</f>
        <v>Arabica</v>
      </c>
      <c r="O357" t="str" cm="1">
        <f t="array" ref="O357">_xlfn.SWITCH(J357,"M","Medium","D","Dark","L","Light")</f>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_xlfn.LET(_xlpm.val,_xlfn.XLOOKUP(C358,customers!$A$1:$A$1001,customers!$C$1:$C$1001,,0),IF(_xlpm.val=0,"",_xlpm.val))</f>
        <v>wromao9w@chronoengine.com</v>
      </c>
      <c r="H358" s="2" t="str">
        <f>_xlfn.LET(_xlpm.val,_xlfn.XLOOKUP(C358,customers!$A$1:$A$1001,customers!$G$1:$G$1001,,0),IF(_xlpm.val=0,"",_xlpm.val))</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cm="1">
        <f t="array" ref="N358">_xlfn.SWITCH(I358,"rob","Robusta","exc","Excelsa","Ara","Arabica","Lib","Liberica","")</f>
        <v>Liberica</v>
      </c>
      <c r="O358" t="str" cm="1">
        <f t="array" ref="O358">_xlfn.SWITCH(J358,"M","Medium","D","Dark","L","Light")</f>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_xlfn.LET(_xlpm.val,_xlfn.XLOOKUP(C359,customers!$A$1:$A$1001,customers!$C$1:$C$1001,,0),IF(_xlpm.val=0,"",_xlpm.val))</f>
        <v/>
      </c>
      <c r="H359" s="2" t="str">
        <f>_xlfn.LET(_xlpm.val,_xlfn.XLOOKUP(C359,customers!$A$1:$A$1001,customers!$G$1:$G$1001,,0),IF(_xlpm.val=0,"",_xlpm.val))</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cm="1">
        <f t="array" ref="N359">_xlfn.SWITCH(I359,"rob","Robusta","exc","Excelsa","Ara","Arabica","Lib","Liberica","")</f>
        <v>Arabica</v>
      </c>
      <c r="O359" t="str" cm="1">
        <f t="array" ref="O359">_xlfn.SWITCH(J359,"M","Medium","D","Dark","L","Light")</f>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_xlfn.LET(_xlpm.val,_xlfn.XLOOKUP(C360,customers!$A$1:$A$1001,customers!$C$1:$C$1001,,0),IF(_xlpm.val=0,"",_xlpm.val))</f>
        <v>tcotmore9y@amazonaws.com</v>
      </c>
      <c r="H360" s="2" t="str">
        <f>_xlfn.LET(_xlpm.val,_xlfn.XLOOKUP(C360,customers!$A$1:$A$1001,customers!$G$1:$G$1001,,0),IF(_xlpm.val=0,"",_xlpm.val))</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cm="1">
        <f t="array" ref="N360">_xlfn.SWITCH(I360,"rob","Robusta","exc","Excelsa","Ara","Arabica","Lib","Liberica","")</f>
        <v>Arabica</v>
      </c>
      <c r="O360" t="str" cm="1">
        <f t="array" ref="O360">_xlfn.SWITCH(J360,"M","Medium","D","Dark","L","Light")</f>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_xlfn.LET(_xlpm.val,_xlfn.XLOOKUP(C361,customers!$A$1:$A$1001,customers!$C$1:$C$1001,,0),IF(_xlpm.val=0,"",_xlpm.val))</f>
        <v>yskipsey9z@spotify.com</v>
      </c>
      <c r="H361" s="2" t="str">
        <f>_xlfn.LET(_xlpm.val,_xlfn.XLOOKUP(C361,customers!$A$1:$A$1001,customers!$G$1:$G$1001,,0),IF(_xlpm.val=0,"",_xlpm.val))</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cm="1">
        <f t="array" ref="N361">_xlfn.SWITCH(I361,"rob","Robusta","exc","Excelsa","Ara","Arabica","Lib","Liberica","")</f>
        <v>Robusta</v>
      </c>
      <c r="O361" t="str" cm="1">
        <f t="array" ref="O361">_xlfn.SWITCH(J361,"M","Medium","D","Dark","L","Light")</f>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_xlfn.LET(_xlpm.val,_xlfn.XLOOKUP(C362,customers!$A$1:$A$1001,customers!$C$1:$C$1001,,0),IF(_xlpm.val=0,"",_xlpm.val))</f>
        <v>ncorpsa0@gmpg.org</v>
      </c>
      <c r="H362" s="2" t="str">
        <f>_xlfn.LET(_xlpm.val,_xlfn.XLOOKUP(C362,customers!$A$1:$A$1001,customers!$G$1:$G$1001,,0),IF(_xlpm.val=0,"",_xlpm.val))</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cm="1">
        <f t="array" ref="N362">_xlfn.SWITCH(I362,"rob","Robusta","exc","Excelsa","Ara","Arabica","Lib","Liberica","")</f>
        <v>Robusta</v>
      </c>
      <c r="O362" t="str" cm="1">
        <f t="array" ref="O362">_xlfn.SWITCH(J362,"M","Medium","D","Dark","L","Light")</f>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_xlfn.LET(_xlpm.val,_xlfn.XLOOKUP(C363,customers!$A$1:$A$1001,customers!$C$1:$C$1001,,0),IF(_xlpm.val=0,"",_xlpm.val))</f>
        <v>ncorpsa0@gmpg.org</v>
      </c>
      <c r="H363" s="2" t="str">
        <f>_xlfn.LET(_xlpm.val,_xlfn.XLOOKUP(C363,customers!$A$1:$A$1001,customers!$G$1:$G$1001,,0),IF(_xlpm.val=0,"",_xlpm.val))</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cm="1">
        <f t="array" ref="N363">_xlfn.SWITCH(I363,"rob","Robusta","exc","Excelsa","Ara","Arabica","Lib","Liberica","")</f>
        <v>Robusta</v>
      </c>
      <c r="O363" t="str" cm="1">
        <f t="array" ref="O363">_xlfn.SWITCH(J363,"M","Medium","D","Dark","L","Light")</f>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_xlfn.LET(_xlpm.val,_xlfn.XLOOKUP(C364,customers!$A$1:$A$1001,customers!$C$1:$C$1001,,0),IF(_xlpm.val=0,"",_xlpm.val))</f>
        <v>fbabbera2@stanford.edu</v>
      </c>
      <c r="H364" s="2" t="str">
        <f>_xlfn.LET(_xlpm.val,_xlfn.XLOOKUP(C364,customers!$A$1:$A$1001,customers!$G$1:$G$1001,,0),IF(_xlpm.val=0,"",_xlpm.val))</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cm="1">
        <f t="array" ref="N364">_xlfn.SWITCH(I364,"rob","Robusta","exc","Excelsa","Ara","Arabica","Lib","Liberica","")</f>
        <v>Excelsa</v>
      </c>
      <c r="O364" t="str" cm="1">
        <f t="array" ref="O364">_xlfn.SWITCH(J364,"M","Medium","D","Dark","L","Light")</f>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_xlfn.LET(_xlpm.val,_xlfn.XLOOKUP(C365,customers!$A$1:$A$1001,customers!$C$1:$C$1001,,0),IF(_xlpm.val=0,"",_xlpm.val))</f>
        <v>kloxtona3@opensource.org</v>
      </c>
      <c r="H365" s="2" t="str">
        <f>_xlfn.LET(_xlpm.val,_xlfn.XLOOKUP(C365,customers!$A$1:$A$1001,customers!$G$1:$G$1001,,0),IF(_xlpm.val=0,"",_xlpm.val))</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cm="1">
        <f t="array" ref="N365">_xlfn.SWITCH(I365,"rob","Robusta","exc","Excelsa","Ara","Arabica","Lib","Liberica","")</f>
        <v>Liberica</v>
      </c>
      <c r="O365" t="str" cm="1">
        <f t="array" ref="O365">_xlfn.SWITCH(J365,"M","Medium","D","Dark","L","Light")</f>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_xlfn.LET(_xlpm.val,_xlfn.XLOOKUP(C366,customers!$A$1:$A$1001,customers!$C$1:$C$1001,,0),IF(_xlpm.val=0,"",_xlpm.val))</f>
        <v>ptoffula4@posterous.com</v>
      </c>
      <c r="H366" s="2" t="str">
        <f>_xlfn.LET(_xlpm.val,_xlfn.XLOOKUP(C366,customers!$A$1:$A$1001,customers!$G$1:$G$1001,,0),IF(_xlpm.val=0,"",_xlpm.val))</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cm="1">
        <f t="array" ref="N366">_xlfn.SWITCH(I366,"rob","Robusta","exc","Excelsa","Ara","Arabica","Lib","Liberica","")</f>
        <v>Excelsa</v>
      </c>
      <c r="O366" t="str" cm="1">
        <f t="array" ref="O366">_xlfn.SWITCH(J366,"M","Medium","D","Dark","L","Light")</f>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_xlfn.LET(_xlpm.val,_xlfn.XLOOKUP(C367,customers!$A$1:$A$1001,customers!$C$1:$C$1001,,0),IF(_xlpm.val=0,"",_xlpm.val))</f>
        <v>cgwinnetta5@behance.net</v>
      </c>
      <c r="H367" s="2" t="str">
        <f>_xlfn.LET(_xlpm.val,_xlfn.XLOOKUP(C367,customers!$A$1:$A$1001,customers!$G$1:$G$1001,,0),IF(_xlpm.val=0,"",_xlpm.val))</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cm="1">
        <f t="array" ref="N367">_xlfn.SWITCH(I367,"rob","Robusta","exc","Excelsa","Ara","Arabica","Lib","Liberica","")</f>
        <v>Liberica</v>
      </c>
      <c r="O367" t="str" cm="1">
        <f t="array" ref="O367">_xlfn.SWITCH(J367,"M","Medium","D","Dark","L","Light")</f>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_xlfn.LET(_xlpm.val,_xlfn.XLOOKUP(C368,customers!$A$1:$A$1001,customers!$C$1:$C$1001,,0),IF(_xlpm.val=0,"",_xlpm.val))</f>
        <v/>
      </c>
      <c r="H368" s="2" t="str">
        <f>_xlfn.LET(_xlpm.val,_xlfn.XLOOKUP(C368,customers!$A$1:$A$1001,customers!$G$1:$G$1001,,0),IF(_xlpm.val=0,"",_xlpm.val))</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cm="1">
        <f t="array" ref="N368">_xlfn.SWITCH(I368,"rob","Robusta","exc","Excelsa","Ara","Arabica","Lib","Liberica","")</f>
        <v>Excelsa</v>
      </c>
      <c r="O368" t="str" cm="1">
        <f t="array" ref="O368">_xlfn.SWITCH(J368,"M","Medium","D","Dark","L","Light")</f>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_xlfn.LET(_xlpm.val,_xlfn.XLOOKUP(C369,customers!$A$1:$A$1001,customers!$C$1:$C$1001,,0),IF(_xlpm.val=0,"",_xlpm.val))</f>
        <v/>
      </c>
      <c r="H369" s="2" t="str">
        <f>_xlfn.LET(_xlpm.val,_xlfn.XLOOKUP(C369,customers!$A$1:$A$1001,customers!$G$1:$G$1001,,0),IF(_xlpm.val=0,"",_xlpm.val))</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cm="1">
        <f t="array" ref="N369">_xlfn.SWITCH(I369,"rob","Robusta","exc","Excelsa","Ara","Arabica","Lib","Liberica","")</f>
        <v>Liberica</v>
      </c>
      <c r="O369" t="str" cm="1">
        <f t="array" ref="O369">_xlfn.SWITCH(J369,"M","Medium","D","Dark","L","Light")</f>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_xlfn.LET(_xlpm.val,_xlfn.XLOOKUP(C370,customers!$A$1:$A$1001,customers!$C$1:$C$1001,,0),IF(_xlpm.val=0,"",_xlpm.val))</f>
        <v>lflaoniera8@wordpress.org</v>
      </c>
      <c r="H370" s="2" t="str">
        <f>_xlfn.LET(_xlpm.val,_xlfn.XLOOKUP(C370,customers!$A$1:$A$1001,customers!$G$1:$G$1001,,0),IF(_xlpm.val=0,"",_xlpm.val))</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cm="1">
        <f t="array" ref="N370">_xlfn.SWITCH(I370,"rob","Robusta","exc","Excelsa","Ara","Arabica","Lib","Liberica","")</f>
        <v>Excelsa</v>
      </c>
      <c r="O370" t="str" cm="1">
        <f t="array" ref="O370">_xlfn.SWITCH(J370,"M","Medium","D","Dark","L","Light")</f>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_xlfn.LET(_xlpm.val,_xlfn.XLOOKUP(C371,customers!$A$1:$A$1001,customers!$C$1:$C$1001,,0),IF(_xlpm.val=0,"",_xlpm.val))</f>
        <v/>
      </c>
      <c r="H371" s="2" t="str">
        <f>_xlfn.LET(_xlpm.val,_xlfn.XLOOKUP(C371,customers!$A$1:$A$1001,customers!$G$1:$G$1001,,0),IF(_xlpm.val=0,"",_xlpm.val))</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cm="1">
        <f t="array" ref="N371">_xlfn.SWITCH(I371,"rob","Robusta","exc","Excelsa","Ara","Arabica","Lib","Liberica","")</f>
        <v>Excelsa</v>
      </c>
      <c r="O371" t="str" cm="1">
        <f t="array" ref="O371">_xlfn.SWITCH(J371,"M","Medium","D","Dark","L","Light")</f>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_xlfn.LET(_xlpm.val,_xlfn.XLOOKUP(C372,customers!$A$1:$A$1001,customers!$C$1:$C$1001,,0),IF(_xlpm.val=0,"",_xlpm.val))</f>
        <v>ccatchesideaa@macromedia.com</v>
      </c>
      <c r="H372" s="2" t="str">
        <f>_xlfn.LET(_xlpm.val,_xlfn.XLOOKUP(C372,customers!$A$1:$A$1001,customers!$G$1:$G$1001,,0),IF(_xlpm.val=0,"",_xlpm.val))</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cm="1">
        <f t="array" ref="N372">_xlfn.SWITCH(I372,"rob","Robusta","exc","Excelsa","Ara","Arabica","Lib","Liberica","")</f>
        <v>Excelsa</v>
      </c>
      <c r="O372" t="str" cm="1">
        <f t="array" ref="O372">_xlfn.SWITCH(J372,"M","Medium","D","Dark","L","Light")</f>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_xlfn.LET(_xlpm.val,_xlfn.XLOOKUP(C373,customers!$A$1:$A$1001,customers!$C$1:$C$1001,,0),IF(_xlpm.val=0,"",_xlpm.val))</f>
        <v>cgibbonsonab@accuweather.com</v>
      </c>
      <c r="H373" s="2" t="str">
        <f>_xlfn.LET(_xlpm.val,_xlfn.XLOOKUP(C373,customers!$A$1:$A$1001,customers!$G$1:$G$1001,,0),IF(_xlpm.val=0,"",_xlpm.val))</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cm="1">
        <f t="array" ref="N373">_xlfn.SWITCH(I373,"rob","Robusta","exc","Excelsa","Ara","Arabica","Lib","Liberica","")</f>
        <v>Arabica</v>
      </c>
      <c r="O373" t="str" cm="1">
        <f t="array" ref="O373">_xlfn.SWITCH(J373,"M","Medium","D","Dark","L","Light")</f>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_xlfn.LET(_xlpm.val,_xlfn.XLOOKUP(C374,customers!$A$1:$A$1001,customers!$C$1:$C$1001,,0),IF(_xlpm.val=0,"",_xlpm.val))</f>
        <v>tfarraac@behance.net</v>
      </c>
      <c r="H374" s="2" t="str">
        <f>_xlfn.LET(_xlpm.val,_xlfn.XLOOKUP(C374,customers!$A$1:$A$1001,customers!$G$1:$G$1001,,0),IF(_xlpm.val=0,"",_xlpm.val))</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cm="1">
        <f t="array" ref="N374">_xlfn.SWITCH(I374,"rob","Robusta","exc","Excelsa","Ara","Arabica","Lib","Liberica","")</f>
        <v>Robusta</v>
      </c>
      <c r="O374" t="str" cm="1">
        <f t="array" ref="O374">_xlfn.SWITCH(J374,"M","Medium","D","Dark","L","Light")</f>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_xlfn.LET(_xlpm.val,_xlfn.XLOOKUP(C375,customers!$A$1:$A$1001,customers!$C$1:$C$1001,,0),IF(_xlpm.val=0,"",_xlpm.val))</f>
        <v/>
      </c>
      <c r="H375" s="2" t="str">
        <f>_xlfn.LET(_xlpm.val,_xlfn.XLOOKUP(C375,customers!$A$1:$A$1001,customers!$G$1:$G$1001,,0),IF(_xlpm.val=0,"",_xlpm.val))</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cm="1">
        <f t="array" ref="N375">_xlfn.SWITCH(I375,"rob","Robusta","exc","Excelsa","Ara","Arabica","Lib","Liberica","")</f>
        <v>Arabica</v>
      </c>
      <c r="O375" t="str" cm="1">
        <f t="array" ref="O375">_xlfn.SWITCH(J375,"M","Medium","D","Dark","L","Light")</f>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_xlfn.LET(_xlpm.val,_xlfn.XLOOKUP(C376,customers!$A$1:$A$1001,customers!$C$1:$C$1001,,0),IF(_xlpm.val=0,"",_xlpm.val))</f>
        <v>gbamfieldae@yellowpages.com</v>
      </c>
      <c r="H376" s="2" t="str">
        <f>_xlfn.LET(_xlpm.val,_xlfn.XLOOKUP(C376,customers!$A$1:$A$1001,customers!$G$1:$G$1001,,0),IF(_xlpm.val=0,"",_xlpm.val))</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cm="1">
        <f t="array" ref="N376">_xlfn.SWITCH(I376,"rob","Robusta","exc","Excelsa","Ara","Arabica","Lib","Liberica","")</f>
        <v>Liberica</v>
      </c>
      <c r="O376" t="str" cm="1">
        <f t="array" ref="O376">_xlfn.SWITCH(J376,"M","Medium","D","Dark","L","Light")</f>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_xlfn.LET(_xlpm.val,_xlfn.XLOOKUP(C377,customers!$A$1:$A$1001,customers!$C$1:$C$1001,,0),IF(_xlpm.val=0,"",_xlpm.val))</f>
        <v>whollingdaleaf@about.me</v>
      </c>
      <c r="H377" s="2" t="str">
        <f>_xlfn.LET(_xlpm.val,_xlfn.XLOOKUP(C377,customers!$A$1:$A$1001,customers!$G$1:$G$1001,,0),IF(_xlpm.val=0,"",_xlpm.val))</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cm="1">
        <f t="array" ref="N377">_xlfn.SWITCH(I377,"rob","Robusta","exc","Excelsa","Ara","Arabica","Lib","Liberica","")</f>
        <v>Arabica</v>
      </c>
      <c r="O377" t="str" cm="1">
        <f t="array" ref="O377">_xlfn.SWITCH(J377,"M","Medium","D","Dark","L","Light")</f>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_xlfn.LET(_xlpm.val,_xlfn.XLOOKUP(C378,customers!$A$1:$A$1001,customers!$C$1:$C$1001,,0),IF(_xlpm.val=0,"",_xlpm.val))</f>
        <v>jdeag@xrea.com</v>
      </c>
      <c r="H378" s="2" t="str">
        <f>_xlfn.LET(_xlpm.val,_xlfn.XLOOKUP(C378,customers!$A$1:$A$1001,customers!$G$1:$G$1001,,0),IF(_xlpm.val=0,"",_xlpm.val))</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cm="1">
        <f t="array" ref="N378">_xlfn.SWITCH(I378,"rob","Robusta","exc","Excelsa","Ara","Arabica","Lib","Liberica","")</f>
        <v>Robusta</v>
      </c>
      <c r="O378" t="str" cm="1">
        <f t="array" ref="O378">_xlfn.SWITCH(J378,"M","Medium","D","Dark","L","Light")</f>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_xlfn.LET(_xlpm.val,_xlfn.XLOOKUP(C379,customers!$A$1:$A$1001,customers!$C$1:$C$1001,,0),IF(_xlpm.val=0,"",_xlpm.val))</f>
        <v>vskulletah@tinyurl.com</v>
      </c>
      <c r="H379" s="2" t="str">
        <f>_xlfn.LET(_xlpm.val,_xlfn.XLOOKUP(C379,customers!$A$1:$A$1001,customers!$G$1:$G$1001,,0),IF(_xlpm.val=0,"",_xlpm.val))</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cm="1">
        <f t="array" ref="N379">_xlfn.SWITCH(I379,"rob","Robusta","exc","Excelsa","Ara","Arabica","Lib","Liberica","")</f>
        <v>Robusta</v>
      </c>
      <c r="O379" t="str" cm="1">
        <f t="array" ref="O379">_xlfn.SWITCH(J379,"M","Medium","D","Dark","L","Light")</f>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_xlfn.LET(_xlpm.val,_xlfn.XLOOKUP(C380,customers!$A$1:$A$1001,customers!$C$1:$C$1001,,0),IF(_xlpm.val=0,"",_xlpm.val))</f>
        <v>jrudeforthai@wunderground.com</v>
      </c>
      <c r="H380" s="2" t="str">
        <f>_xlfn.LET(_xlpm.val,_xlfn.XLOOKUP(C380,customers!$A$1:$A$1001,customers!$G$1:$G$1001,,0),IF(_xlpm.val=0,"",_xlpm.val))</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cm="1">
        <f t="array" ref="N380">_xlfn.SWITCH(I380,"rob","Robusta","exc","Excelsa","Ara","Arabica","Lib","Liberica","")</f>
        <v>Arabica</v>
      </c>
      <c r="O380" t="str" cm="1">
        <f t="array" ref="O380">_xlfn.SWITCH(J380,"M","Medium","D","Dark","L","Light")</f>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_xlfn.LET(_xlpm.val,_xlfn.XLOOKUP(C381,customers!$A$1:$A$1001,customers!$C$1:$C$1001,,0),IF(_xlpm.val=0,"",_xlpm.val))</f>
        <v>atomaszewskiaj@answers.com</v>
      </c>
      <c r="H381" s="2" t="str">
        <f>_xlfn.LET(_xlpm.val,_xlfn.XLOOKUP(C381,customers!$A$1:$A$1001,customers!$G$1:$G$1001,,0),IF(_xlpm.val=0,"",_xlpm.val))</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cm="1">
        <f t="array" ref="N381">_xlfn.SWITCH(I381,"rob","Robusta","exc","Excelsa","Ara","Arabica","Lib","Liberica","")</f>
        <v>Robusta</v>
      </c>
      <c r="O381" t="str" cm="1">
        <f t="array" ref="O381">_xlfn.SWITCH(J381,"M","Medium","D","Dark","L","Light")</f>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_xlfn.LET(_xlpm.val,_xlfn.XLOOKUP(C382,customers!$A$1:$A$1001,customers!$C$1:$C$1001,,0),IF(_xlpm.val=0,"",_xlpm.val))</f>
        <v/>
      </c>
      <c r="H382" s="2" t="str">
        <f>_xlfn.LET(_xlpm.val,_xlfn.XLOOKUP(C382,customers!$A$1:$A$1001,customers!$G$1:$G$1001,,0),IF(_xlpm.val=0,"",_xlpm.val))</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cm="1">
        <f t="array" ref="N382">_xlfn.SWITCH(I382,"rob","Robusta","exc","Excelsa","Ara","Arabica","Lib","Liberica","")</f>
        <v>Liberica</v>
      </c>
      <c r="O382" t="str" cm="1">
        <f t="array" ref="O382">_xlfn.SWITCH(J382,"M","Medium","D","Dark","L","Light")</f>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_xlfn.LET(_xlpm.val,_xlfn.XLOOKUP(C383,customers!$A$1:$A$1001,customers!$C$1:$C$1001,,0),IF(_xlpm.val=0,"",_xlpm.val))</f>
        <v>pbessal@qq.com</v>
      </c>
      <c r="H383" s="2" t="str">
        <f>_xlfn.LET(_xlpm.val,_xlfn.XLOOKUP(C383,customers!$A$1:$A$1001,customers!$G$1:$G$1001,,0),IF(_xlpm.val=0,"",_xlpm.val))</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cm="1">
        <f t="array" ref="N383">_xlfn.SWITCH(I383,"rob","Robusta","exc","Excelsa","Ara","Arabica","Lib","Liberica","")</f>
        <v>Arabica</v>
      </c>
      <c r="O383" t="str" cm="1">
        <f t="array" ref="O383">_xlfn.SWITCH(J383,"M","Medium","D","Dark","L","Light")</f>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_xlfn.LET(_xlpm.val,_xlfn.XLOOKUP(C384,customers!$A$1:$A$1001,customers!$C$1:$C$1001,,0),IF(_xlpm.val=0,"",_xlpm.val))</f>
        <v>ewindressam@marketwatch.com</v>
      </c>
      <c r="H384" s="2" t="str">
        <f>_xlfn.LET(_xlpm.val,_xlfn.XLOOKUP(C384,customers!$A$1:$A$1001,customers!$G$1:$G$1001,,0),IF(_xlpm.val=0,"",_xlpm.val))</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cm="1">
        <f t="array" ref="N384">_xlfn.SWITCH(I384,"rob","Robusta","exc","Excelsa","Ara","Arabica","Lib","Liberica","")</f>
        <v>Excelsa</v>
      </c>
      <c r="O384" t="str" cm="1">
        <f t="array" ref="O384">_xlfn.SWITCH(J384,"M","Medium","D","Dark","L","Light")</f>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_xlfn.LET(_xlpm.val,_xlfn.XLOOKUP(C385,customers!$A$1:$A$1001,customers!$C$1:$C$1001,,0),IF(_xlpm.val=0,"",_xlpm.val))</f>
        <v/>
      </c>
      <c r="H385" s="2" t="str">
        <f>_xlfn.LET(_xlpm.val,_xlfn.XLOOKUP(C385,customers!$A$1:$A$1001,customers!$G$1:$G$1001,,0),IF(_xlpm.val=0,"",_xlpm.val))</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cm="1">
        <f t="array" ref="N385">_xlfn.SWITCH(I385,"rob","Robusta","exc","Excelsa","Ara","Arabica","Lib","Liberica","")</f>
        <v>Excelsa</v>
      </c>
      <c r="O385" t="str" cm="1">
        <f t="array" ref="O385">_xlfn.SWITCH(J385,"M","Medium","D","Dark","L","Light")</f>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_xlfn.LET(_xlpm.val,_xlfn.XLOOKUP(C386,customers!$A$1:$A$1001,customers!$C$1:$C$1001,,0),IF(_xlpm.val=0,"",_xlpm.val))</f>
        <v/>
      </c>
      <c r="H386" s="2" t="str">
        <f>_xlfn.LET(_xlpm.val,_xlfn.XLOOKUP(C386,customers!$A$1:$A$1001,customers!$G$1:$G$1001,,0),IF(_xlpm.val=0,"",_xlpm.val))</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cm="1">
        <f t="array" ref="N386">_xlfn.SWITCH(I386,"rob","Robusta","exc","Excelsa","Ara","Arabica","Lib","Liberica","")</f>
        <v>Arabica</v>
      </c>
      <c r="O386" t="str" cm="1">
        <f t="array" ref="O386">_xlfn.SWITCH(J386,"M","Medium","D","Dark","L","Light")</f>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_xlfn.LET(_xlpm.val,_xlfn.XLOOKUP(C387,customers!$A$1:$A$1001,customers!$C$1:$C$1001,,0),IF(_xlpm.val=0,"",_xlpm.val))</f>
        <v>vbaumadierap@google.cn</v>
      </c>
      <c r="H387" s="2" t="str">
        <f>_xlfn.LET(_xlpm.val,_xlfn.XLOOKUP(C387,customers!$A$1:$A$1001,customers!$G$1:$G$1001,,0),IF(_xlpm.val=0,"",_xlpm.val))</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L387*E387</f>
        <v>43.650000000000006</v>
      </c>
      <c r="N387" t="str" cm="1">
        <f t="array" ref="N387">_xlfn.SWITCH(I387,"rob","Robusta","exc","Excelsa","Ara","Arabica","Lib","Liberica","")</f>
        <v>Liberica</v>
      </c>
      <c r="O387" t="str" cm="1">
        <f t="array" ref="O387">_xlfn.SWITCH(J387,"M","Medium","D","Dark","L","Light")</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_xlfn.LET(_xlpm.val,_xlfn.XLOOKUP(C388,customers!$A$1:$A$1001,customers!$C$1:$C$1001,,0),IF(_xlpm.val=0,"",_xlpm.val))</f>
        <v/>
      </c>
      <c r="H388" s="2" t="str">
        <f>_xlfn.LET(_xlpm.val,_xlfn.XLOOKUP(C388,customers!$A$1:$A$1001,customers!$G$1:$G$1001,,0),IF(_xlpm.val=0,"",_xlpm.val))</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cm="1">
        <f t="array" ref="N388">_xlfn.SWITCH(I388,"rob","Robusta","exc","Excelsa","Ara","Arabica","Lib","Liberica","")</f>
        <v>Arabica</v>
      </c>
      <c r="O388" t="str" cm="1">
        <f t="array" ref="O388">_xlfn.SWITCH(J388,"M","Medium","D","Dark","L","Light")</f>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_xlfn.LET(_xlpm.val,_xlfn.XLOOKUP(C389,customers!$A$1:$A$1001,customers!$C$1:$C$1001,,0),IF(_xlpm.val=0,"",_xlpm.val))</f>
        <v>sweldsar@wired.com</v>
      </c>
      <c r="H389" s="2" t="str">
        <f>_xlfn.LET(_xlpm.val,_xlfn.XLOOKUP(C389,customers!$A$1:$A$1001,customers!$G$1:$G$1001,,0),IF(_xlpm.val=0,"",_xlpm.val))</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cm="1">
        <f t="array" ref="N389">_xlfn.SWITCH(I389,"rob","Robusta","exc","Excelsa","Ara","Arabica","Lib","Liberica","")</f>
        <v>Excelsa</v>
      </c>
      <c r="O389" t="str" cm="1">
        <f t="array" ref="O389">_xlfn.SWITCH(J389,"M","Medium","D","Dark","L","Light")</f>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_xlfn.LET(_xlpm.val,_xlfn.XLOOKUP(C390,customers!$A$1:$A$1001,customers!$C$1:$C$1001,,0),IF(_xlpm.val=0,"",_xlpm.val))</f>
        <v>msarvaras@artisteer.com</v>
      </c>
      <c r="H390" s="2" t="str">
        <f>_xlfn.LET(_xlpm.val,_xlfn.XLOOKUP(C390,customers!$A$1:$A$1001,customers!$G$1:$G$1001,,0),IF(_xlpm.val=0,"",_xlpm.val))</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cm="1">
        <f t="array" ref="N390">_xlfn.SWITCH(I390,"rob","Robusta","exc","Excelsa","Ara","Arabica","Lib","Liberica","")</f>
        <v>Liberica</v>
      </c>
      <c r="O390" t="str" cm="1">
        <f t="array" ref="O390">_xlfn.SWITCH(J390,"M","Medium","D","Dark","L","Light")</f>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_xlfn.LET(_xlpm.val,_xlfn.XLOOKUP(C391,customers!$A$1:$A$1001,customers!$C$1:$C$1001,,0),IF(_xlpm.val=0,"",_xlpm.val))</f>
        <v>ahavickat@nsw.gov.au</v>
      </c>
      <c r="H391" s="2" t="str">
        <f>_xlfn.LET(_xlpm.val,_xlfn.XLOOKUP(C391,customers!$A$1:$A$1001,customers!$G$1:$G$1001,,0),IF(_xlpm.val=0,"",_xlpm.val))</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cm="1">
        <f t="array" ref="N391">_xlfn.SWITCH(I391,"rob","Robusta","exc","Excelsa","Ara","Arabica","Lib","Liberica","")</f>
        <v>Liberica</v>
      </c>
      <c r="O391" t="str" cm="1">
        <f t="array" ref="O391">_xlfn.SWITCH(J391,"M","Medium","D","Dark","L","Light")</f>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_xlfn.LET(_xlpm.val,_xlfn.XLOOKUP(C392,customers!$A$1:$A$1001,customers!$C$1:$C$1001,,0),IF(_xlpm.val=0,"",_xlpm.val))</f>
        <v>sdivinyau@ask.com</v>
      </c>
      <c r="H392" s="2" t="str">
        <f>_xlfn.LET(_xlpm.val,_xlfn.XLOOKUP(C392,customers!$A$1:$A$1001,customers!$G$1:$G$1001,,0),IF(_xlpm.val=0,"",_xlpm.val))</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cm="1">
        <f t="array" ref="N392">_xlfn.SWITCH(I392,"rob","Robusta","exc","Excelsa","Ara","Arabica","Lib","Liberica","")</f>
        <v>Excelsa</v>
      </c>
      <c r="O392" t="str" cm="1">
        <f t="array" ref="O392">_xlfn.SWITCH(J392,"M","Medium","D","Dark","L","Light")</f>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_xlfn.LET(_xlpm.val,_xlfn.XLOOKUP(C393,customers!$A$1:$A$1001,customers!$C$1:$C$1001,,0),IF(_xlpm.val=0,"",_xlpm.val))</f>
        <v>inorquoyav@businessweek.com</v>
      </c>
      <c r="H393" s="2" t="str">
        <f>_xlfn.LET(_xlpm.val,_xlfn.XLOOKUP(C393,customers!$A$1:$A$1001,customers!$G$1:$G$1001,,0),IF(_xlpm.val=0,"",_xlpm.val))</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cm="1">
        <f t="array" ref="N393">_xlfn.SWITCH(I393,"rob","Robusta","exc","Excelsa","Ara","Arabica","Lib","Liberica","")</f>
        <v>Arabica</v>
      </c>
      <c r="O393" t="str" cm="1">
        <f t="array" ref="O393">_xlfn.SWITCH(J393,"M","Medium","D","Dark","L","Light")</f>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_xlfn.LET(_xlpm.val,_xlfn.XLOOKUP(C394,customers!$A$1:$A$1001,customers!$C$1:$C$1001,,0),IF(_xlpm.val=0,"",_xlpm.val))</f>
        <v>aiddisonaw@usa.gov</v>
      </c>
      <c r="H394" s="2" t="str">
        <f>_xlfn.LET(_xlpm.val,_xlfn.XLOOKUP(C394,customers!$A$1:$A$1001,customers!$G$1:$G$1001,,0),IF(_xlpm.val=0,"",_xlpm.val))</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cm="1">
        <f t="array" ref="N394">_xlfn.SWITCH(I394,"rob","Robusta","exc","Excelsa","Ara","Arabica","Lib","Liberica","")</f>
        <v>Excelsa</v>
      </c>
      <c r="O394" t="str" cm="1">
        <f t="array" ref="O394">_xlfn.SWITCH(J394,"M","Medium","D","Dark","L","Light")</f>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_xlfn.LET(_xlpm.val,_xlfn.XLOOKUP(C395,customers!$A$1:$A$1001,customers!$C$1:$C$1001,,0),IF(_xlpm.val=0,"",_xlpm.val))</f>
        <v>aiddisonaw@usa.gov</v>
      </c>
      <c r="H395" s="2" t="str">
        <f>_xlfn.LET(_xlpm.val,_xlfn.XLOOKUP(C395,customers!$A$1:$A$1001,customers!$G$1:$G$1001,,0),IF(_xlpm.val=0,"",_xlpm.val))</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cm="1">
        <f t="array" ref="N395">_xlfn.SWITCH(I395,"rob","Robusta","exc","Excelsa","Ara","Arabica","Lib","Liberica","")</f>
        <v>Arabica</v>
      </c>
      <c r="O395" t="str" cm="1">
        <f t="array" ref="O395">_xlfn.SWITCH(J395,"M","Medium","D","Dark","L","Light")</f>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_xlfn.LET(_xlpm.val,_xlfn.XLOOKUP(C396,customers!$A$1:$A$1001,customers!$C$1:$C$1001,,0),IF(_xlpm.val=0,"",_xlpm.val))</f>
        <v>rlongfielday@bluehost.com</v>
      </c>
      <c r="H396" s="2" t="str">
        <f>_xlfn.LET(_xlpm.val,_xlfn.XLOOKUP(C396,customers!$A$1:$A$1001,customers!$G$1:$G$1001,,0),IF(_xlpm.val=0,"",_xlpm.val))</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cm="1">
        <f t="array" ref="N396">_xlfn.SWITCH(I396,"rob","Robusta","exc","Excelsa","Ara","Arabica","Lib","Liberica","")</f>
        <v>Robusta</v>
      </c>
      <c r="O396" t="str" cm="1">
        <f t="array" ref="O396">_xlfn.SWITCH(J396,"M","Medium","D","Dark","L","Light")</f>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_xlfn.LET(_xlpm.val,_xlfn.XLOOKUP(C397,customers!$A$1:$A$1001,customers!$C$1:$C$1001,,0),IF(_xlpm.val=0,"",_xlpm.val))</f>
        <v>gkislingburyaz@samsung.com</v>
      </c>
      <c r="H397" s="2" t="str">
        <f>_xlfn.LET(_xlpm.val,_xlfn.XLOOKUP(C397,customers!$A$1:$A$1001,customers!$G$1:$G$1001,,0),IF(_xlpm.val=0,"",_xlpm.val))</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cm="1">
        <f t="array" ref="N397">_xlfn.SWITCH(I397,"rob","Robusta","exc","Excelsa","Ara","Arabica","Lib","Liberica","")</f>
        <v>Liberica</v>
      </c>
      <c r="O397" t="str" cm="1">
        <f t="array" ref="O397">_xlfn.SWITCH(J397,"M","Medium","D","Dark","L","Light")</f>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_xlfn.LET(_xlpm.val,_xlfn.XLOOKUP(C398,customers!$A$1:$A$1001,customers!$C$1:$C$1001,,0),IF(_xlpm.val=0,"",_xlpm.val))</f>
        <v>xgibbonsb0@artisteer.com</v>
      </c>
      <c r="H398" s="2" t="str">
        <f>_xlfn.LET(_xlpm.val,_xlfn.XLOOKUP(C398,customers!$A$1:$A$1001,customers!$G$1:$G$1001,,0),IF(_xlpm.val=0,"",_xlpm.val))</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cm="1">
        <f t="array" ref="N398">_xlfn.SWITCH(I398,"rob","Robusta","exc","Excelsa","Ara","Arabica","Lib","Liberica","")</f>
        <v>Arabica</v>
      </c>
      <c r="O398" t="str" cm="1">
        <f t="array" ref="O398">_xlfn.SWITCH(J398,"M","Medium","D","Dark","L","Light")</f>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_xlfn.LET(_xlpm.val,_xlfn.XLOOKUP(C399,customers!$A$1:$A$1001,customers!$C$1:$C$1001,,0),IF(_xlpm.val=0,"",_xlpm.val))</f>
        <v>fparresb1@imageshack.us</v>
      </c>
      <c r="H399" s="2" t="str">
        <f>_xlfn.LET(_xlpm.val,_xlfn.XLOOKUP(C399,customers!$A$1:$A$1001,customers!$G$1:$G$1001,,0),IF(_xlpm.val=0,"",_xlpm.val))</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cm="1">
        <f t="array" ref="N399">_xlfn.SWITCH(I399,"rob","Robusta","exc","Excelsa","Ara","Arabica","Lib","Liberica","")</f>
        <v>Liberica</v>
      </c>
      <c r="O399" t="str" cm="1">
        <f t="array" ref="O399">_xlfn.SWITCH(J399,"M","Medium","D","Dark","L","Light")</f>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_xlfn.LET(_xlpm.val,_xlfn.XLOOKUP(C400,customers!$A$1:$A$1001,customers!$C$1:$C$1001,,0),IF(_xlpm.val=0,"",_xlpm.val))</f>
        <v>gsibrayb2@wsj.com</v>
      </c>
      <c r="H400" s="2" t="str">
        <f>_xlfn.LET(_xlpm.val,_xlfn.XLOOKUP(C400,customers!$A$1:$A$1001,customers!$G$1:$G$1001,,0),IF(_xlpm.val=0,"",_xlpm.val))</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cm="1">
        <f t="array" ref="N400">_xlfn.SWITCH(I400,"rob","Robusta","exc","Excelsa","Ara","Arabica","Lib","Liberica","")</f>
        <v>Arabica</v>
      </c>
      <c r="O400" t="str" cm="1">
        <f t="array" ref="O400">_xlfn.SWITCH(J400,"M","Medium","D","Dark","L","Light")</f>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_xlfn.LET(_xlpm.val,_xlfn.XLOOKUP(C401,customers!$A$1:$A$1001,customers!$C$1:$C$1001,,0),IF(_xlpm.val=0,"",_xlpm.val))</f>
        <v>ihotchkinb3@mit.edu</v>
      </c>
      <c r="H401" s="2" t="str">
        <f>_xlfn.LET(_xlpm.val,_xlfn.XLOOKUP(C401,customers!$A$1:$A$1001,customers!$G$1:$G$1001,,0),IF(_xlpm.val=0,"",_xlpm.val))</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cm="1">
        <f t="array" ref="N401">_xlfn.SWITCH(I401,"rob","Robusta","exc","Excelsa","Ara","Arabica","Lib","Liberica","")</f>
        <v>Excelsa</v>
      </c>
      <c r="O401" t="str" cm="1">
        <f t="array" ref="O401">_xlfn.SWITCH(J401,"M","Medium","D","Dark","L","Light")</f>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_xlfn.LET(_xlpm.val,_xlfn.XLOOKUP(C402,customers!$A$1:$A$1001,customers!$C$1:$C$1001,,0),IF(_xlpm.val=0,"",_xlpm.val))</f>
        <v>nbroadberrieb4@gnu.org</v>
      </c>
      <c r="H402" s="2" t="str">
        <f>_xlfn.LET(_xlpm.val,_xlfn.XLOOKUP(C402,customers!$A$1:$A$1001,customers!$G$1:$G$1001,,0),IF(_xlpm.val=0,"",_xlpm.val))</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cm="1">
        <f t="array" ref="N402">_xlfn.SWITCH(I402,"rob","Robusta","exc","Excelsa","Ara","Arabica","Lib","Liberica","")</f>
        <v>Liberica</v>
      </c>
      <c r="O402" t="str" cm="1">
        <f t="array" ref="O402">_xlfn.SWITCH(J402,"M","Medium","D","Dark","L","Light")</f>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_xlfn.LET(_xlpm.val,_xlfn.XLOOKUP(C403,customers!$A$1:$A$1001,customers!$C$1:$C$1001,,0),IF(_xlpm.val=0,"",_xlpm.val))</f>
        <v>rpithcockb5@yellowbook.com</v>
      </c>
      <c r="H403" s="2" t="str">
        <f>_xlfn.LET(_xlpm.val,_xlfn.XLOOKUP(C403,customers!$A$1:$A$1001,customers!$G$1:$G$1001,,0),IF(_xlpm.val=0,"",_xlpm.val))</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cm="1">
        <f t="array" ref="N403">_xlfn.SWITCH(I403,"rob","Robusta","exc","Excelsa","Ara","Arabica","Lib","Liberica","")</f>
        <v>Liberica</v>
      </c>
      <c r="O403" t="str" cm="1">
        <f t="array" ref="O403">_xlfn.SWITCH(J403,"M","Medium","D","Dark","L","Light")</f>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_xlfn.LET(_xlpm.val,_xlfn.XLOOKUP(C404,customers!$A$1:$A$1001,customers!$C$1:$C$1001,,0),IF(_xlpm.val=0,"",_xlpm.val))</f>
        <v>gcroysdaleb6@nih.gov</v>
      </c>
      <c r="H404" s="2" t="str">
        <f>_xlfn.LET(_xlpm.val,_xlfn.XLOOKUP(C404,customers!$A$1:$A$1001,customers!$G$1:$G$1001,,0),IF(_xlpm.val=0,"",_xlpm.val))</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cm="1">
        <f t="array" ref="N404">_xlfn.SWITCH(I404,"rob","Robusta","exc","Excelsa","Ara","Arabica","Lib","Liberica","")</f>
        <v>Robusta</v>
      </c>
      <c r="O404" t="str" cm="1">
        <f t="array" ref="O404">_xlfn.SWITCH(J404,"M","Medium","D","Dark","L","Light")</f>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_xlfn.LET(_xlpm.val,_xlfn.XLOOKUP(C405,customers!$A$1:$A$1001,customers!$C$1:$C$1001,,0),IF(_xlpm.val=0,"",_xlpm.val))</f>
        <v>bgozzettb7@github.com</v>
      </c>
      <c r="H405" s="2" t="str">
        <f>_xlfn.LET(_xlpm.val,_xlfn.XLOOKUP(C405,customers!$A$1:$A$1001,customers!$G$1:$G$1001,,0),IF(_xlpm.val=0,"",_xlpm.val))</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cm="1">
        <f t="array" ref="N405">_xlfn.SWITCH(I405,"rob","Robusta","exc","Excelsa","Ara","Arabica","Lib","Liberica","")</f>
        <v>Liberica</v>
      </c>
      <c r="O405" t="str" cm="1">
        <f t="array" ref="O405">_xlfn.SWITCH(J405,"M","Medium","D","Dark","L","Light")</f>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_xlfn.LET(_xlpm.val,_xlfn.XLOOKUP(C406,customers!$A$1:$A$1001,customers!$C$1:$C$1001,,0),IF(_xlpm.val=0,"",_xlpm.val))</f>
        <v>tcraggsb8@house.gov</v>
      </c>
      <c r="H406" s="2" t="str">
        <f>_xlfn.LET(_xlpm.val,_xlfn.XLOOKUP(C406,customers!$A$1:$A$1001,customers!$G$1:$G$1001,,0),IF(_xlpm.val=0,"",_xlpm.val))</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cm="1">
        <f t="array" ref="N406">_xlfn.SWITCH(I406,"rob","Robusta","exc","Excelsa","Ara","Arabica","Lib","Liberica","")</f>
        <v>Arabica</v>
      </c>
      <c r="O406" t="str" cm="1">
        <f t="array" ref="O406">_xlfn.SWITCH(J406,"M","Medium","D","Dark","L","Light")</f>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_xlfn.LET(_xlpm.val,_xlfn.XLOOKUP(C407,customers!$A$1:$A$1001,customers!$C$1:$C$1001,,0),IF(_xlpm.val=0,"",_xlpm.val))</f>
        <v>lcullrfordb9@xing.com</v>
      </c>
      <c r="H407" s="2" t="str">
        <f>_xlfn.LET(_xlpm.val,_xlfn.XLOOKUP(C407,customers!$A$1:$A$1001,customers!$G$1:$G$1001,,0),IF(_xlpm.val=0,"",_xlpm.val))</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cm="1">
        <f t="array" ref="N407">_xlfn.SWITCH(I407,"rob","Robusta","exc","Excelsa","Ara","Arabica","Lib","Liberica","")</f>
        <v>Excelsa</v>
      </c>
      <c r="O407" t="str" cm="1">
        <f t="array" ref="O407">_xlfn.SWITCH(J407,"M","Medium","D","Dark","L","Light")</f>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_xlfn.LET(_xlpm.val,_xlfn.XLOOKUP(C408,customers!$A$1:$A$1001,customers!$C$1:$C$1001,,0),IF(_xlpm.val=0,"",_xlpm.val))</f>
        <v>arizonba@xing.com</v>
      </c>
      <c r="H408" s="2" t="str">
        <f>_xlfn.LET(_xlpm.val,_xlfn.XLOOKUP(C408,customers!$A$1:$A$1001,customers!$G$1:$G$1001,,0),IF(_xlpm.val=0,"",_xlpm.val))</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cm="1">
        <f t="array" ref="N408">_xlfn.SWITCH(I408,"rob","Robusta","exc","Excelsa","Ara","Arabica","Lib","Liberica","")</f>
        <v>Excelsa</v>
      </c>
      <c r="O408" t="str" cm="1">
        <f t="array" ref="O408">_xlfn.SWITCH(J408,"M","Medium","D","Dark","L","Light")</f>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_xlfn.LET(_xlpm.val,_xlfn.XLOOKUP(C409,customers!$A$1:$A$1001,customers!$C$1:$C$1001,,0),IF(_xlpm.val=0,"",_xlpm.val))</f>
        <v/>
      </c>
      <c r="H409" s="2" t="str">
        <f>_xlfn.LET(_xlpm.val,_xlfn.XLOOKUP(C409,customers!$A$1:$A$1001,customers!$G$1:$G$1001,,0),IF(_xlpm.val=0,"",_xlpm.val))</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cm="1">
        <f t="array" ref="N409">_xlfn.SWITCH(I409,"rob","Robusta","exc","Excelsa","Ara","Arabica","Lib","Liberica","")</f>
        <v>Excelsa</v>
      </c>
      <c r="O409" t="str" cm="1">
        <f t="array" ref="O409">_xlfn.SWITCH(J409,"M","Medium","D","Dark","L","Light")</f>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_xlfn.LET(_xlpm.val,_xlfn.XLOOKUP(C410,customers!$A$1:$A$1001,customers!$C$1:$C$1001,,0),IF(_xlpm.val=0,"",_xlpm.val))</f>
        <v>fmiellbc@spiegel.de</v>
      </c>
      <c r="H410" s="2" t="str">
        <f>_xlfn.LET(_xlpm.val,_xlfn.XLOOKUP(C410,customers!$A$1:$A$1001,customers!$G$1:$G$1001,,0),IF(_xlpm.val=0,"",_xlpm.val))</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cm="1">
        <f t="array" ref="N410">_xlfn.SWITCH(I410,"rob","Robusta","exc","Excelsa","Ara","Arabica","Lib","Liberica","")</f>
        <v>Arabica</v>
      </c>
      <c r="O410" t="str" cm="1">
        <f t="array" ref="O410">_xlfn.SWITCH(J410,"M","Medium","D","Dark","L","Light")</f>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_xlfn.LET(_xlpm.val,_xlfn.XLOOKUP(C411,customers!$A$1:$A$1001,customers!$C$1:$C$1001,,0),IF(_xlpm.val=0,"",_xlpm.val))</f>
        <v/>
      </c>
      <c r="H411" s="2" t="str">
        <f>_xlfn.LET(_xlpm.val,_xlfn.XLOOKUP(C411,customers!$A$1:$A$1001,customers!$G$1:$G$1001,,0),IF(_xlpm.val=0,"",_xlpm.val))</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cm="1">
        <f t="array" ref="N411">_xlfn.SWITCH(I411,"rob","Robusta","exc","Excelsa","Ara","Arabica","Lib","Liberica","")</f>
        <v>Liberica</v>
      </c>
      <c r="O411" t="str" cm="1">
        <f t="array" ref="O411">_xlfn.SWITCH(J411,"M","Medium","D","Dark","L","Light")</f>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_xlfn.LET(_xlpm.val,_xlfn.XLOOKUP(C412,customers!$A$1:$A$1001,customers!$C$1:$C$1001,,0),IF(_xlpm.val=0,"",_xlpm.val))</f>
        <v/>
      </c>
      <c r="H412" s="2" t="str">
        <f>_xlfn.LET(_xlpm.val,_xlfn.XLOOKUP(C412,customers!$A$1:$A$1001,customers!$G$1:$G$1001,,0),IF(_xlpm.val=0,"",_xlpm.val))</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cm="1">
        <f t="array" ref="N412">_xlfn.SWITCH(I412,"rob","Robusta","exc","Excelsa","Ara","Arabica","Lib","Liberica","")</f>
        <v>Arabica</v>
      </c>
      <c r="O412" t="str" cm="1">
        <f t="array" ref="O412">_xlfn.SWITCH(J412,"M","Medium","D","Dark","L","Light")</f>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_xlfn.LET(_xlpm.val,_xlfn.XLOOKUP(C413,customers!$A$1:$A$1001,customers!$C$1:$C$1001,,0),IF(_xlpm.val=0,"",_xlpm.val))</f>
        <v/>
      </c>
      <c r="H413" s="2" t="str">
        <f>_xlfn.LET(_xlpm.val,_xlfn.XLOOKUP(C413,customers!$A$1:$A$1001,customers!$G$1:$G$1001,,0),IF(_xlpm.val=0,"",_xlpm.val))</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cm="1">
        <f t="array" ref="N413">_xlfn.SWITCH(I413,"rob","Robusta","exc","Excelsa","Ara","Arabica","Lib","Liberica","")</f>
        <v>Liberica</v>
      </c>
      <c r="O413" t="str" cm="1">
        <f t="array" ref="O413">_xlfn.SWITCH(J413,"M","Medium","D","Dark","L","Light")</f>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_xlfn.LET(_xlpm.val,_xlfn.XLOOKUP(C414,customers!$A$1:$A$1001,customers!$C$1:$C$1001,,0),IF(_xlpm.val=0,"",_xlpm.val))</f>
        <v/>
      </c>
      <c r="H414" s="2" t="str">
        <f>_xlfn.LET(_xlpm.val,_xlfn.XLOOKUP(C414,customers!$A$1:$A$1001,customers!$G$1:$G$1001,,0),IF(_xlpm.val=0,"",_xlpm.val))</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cm="1">
        <f t="array" ref="N414">_xlfn.SWITCH(I414,"rob","Robusta","exc","Excelsa","Ara","Arabica","Lib","Liberica","")</f>
        <v>Arabica</v>
      </c>
      <c r="O414" t="str" cm="1">
        <f t="array" ref="O414">_xlfn.SWITCH(J414,"M","Medium","D","Dark","L","Light")</f>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_xlfn.LET(_xlpm.val,_xlfn.XLOOKUP(C415,customers!$A$1:$A$1001,customers!$C$1:$C$1001,,0),IF(_xlpm.val=0,"",_xlpm.val))</f>
        <v>wspringallbh@jugem.jp</v>
      </c>
      <c r="H415" s="2" t="str">
        <f>_xlfn.LET(_xlpm.val,_xlfn.XLOOKUP(C415,customers!$A$1:$A$1001,customers!$G$1:$G$1001,,0),IF(_xlpm.val=0,"",_xlpm.val))</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cm="1">
        <f t="array" ref="N415">_xlfn.SWITCH(I415,"rob","Robusta","exc","Excelsa","Ara","Arabica","Lib","Liberica","")</f>
        <v>Liberica</v>
      </c>
      <c r="O415" t="str" cm="1">
        <f t="array" ref="O415">_xlfn.SWITCH(J415,"M","Medium","D","Dark","L","Light")</f>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_xlfn.LET(_xlpm.val,_xlfn.XLOOKUP(C416,customers!$A$1:$A$1001,customers!$C$1:$C$1001,,0),IF(_xlpm.val=0,"",_xlpm.val))</f>
        <v/>
      </c>
      <c r="H416" s="2" t="str">
        <f>_xlfn.LET(_xlpm.val,_xlfn.XLOOKUP(C416,customers!$A$1:$A$1001,customers!$G$1:$G$1001,,0),IF(_xlpm.val=0,"",_xlpm.val))</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cm="1">
        <f t="array" ref="N416">_xlfn.SWITCH(I416,"rob","Robusta","exc","Excelsa","Ara","Arabica","Lib","Liberica","")</f>
        <v>Robusta</v>
      </c>
      <c r="O416" t="str" cm="1">
        <f t="array" ref="O416">_xlfn.SWITCH(J416,"M","Medium","D","Dark","L","Light")</f>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_xlfn.LET(_xlpm.val,_xlfn.XLOOKUP(C417,customers!$A$1:$A$1001,customers!$C$1:$C$1001,,0),IF(_xlpm.val=0,"",_xlpm.val))</f>
        <v>ghawkyensbj@census.gov</v>
      </c>
      <c r="H417" s="2" t="str">
        <f>_xlfn.LET(_xlpm.val,_xlfn.XLOOKUP(C417,customers!$A$1:$A$1001,customers!$G$1:$G$1001,,0),IF(_xlpm.val=0,"",_xlpm.val))</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cm="1">
        <f t="array" ref="N417">_xlfn.SWITCH(I417,"rob","Robusta","exc","Excelsa","Ara","Arabica","Lib","Liberica","")</f>
        <v>Robusta</v>
      </c>
      <c r="O417" t="str" cm="1">
        <f t="array" ref="O417">_xlfn.SWITCH(J417,"M","Medium","D","Dark","L","Light")</f>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_xlfn.LET(_xlpm.val,_xlfn.XLOOKUP(C418,customers!$A$1:$A$1001,customers!$C$1:$C$1001,,0),IF(_xlpm.val=0,"",_xlpm.val))</f>
        <v/>
      </c>
      <c r="H418" s="2" t="str">
        <f>_xlfn.LET(_xlpm.val,_xlfn.XLOOKUP(C418,customers!$A$1:$A$1001,customers!$G$1:$G$1001,,0),IF(_xlpm.val=0,"",_xlpm.val))</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cm="1">
        <f t="array" ref="N418">_xlfn.SWITCH(I418,"rob","Robusta","exc","Excelsa","Ara","Arabica","Lib","Liberica","")</f>
        <v>Arabica</v>
      </c>
      <c r="O418" t="str" cm="1">
        <f t="array" ref="O418">_xlfn.SWITCH(J418,"M","Medium","D","Dark","L","Light")</f>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_xlfn.LET(_xlpm.val,_xlfn.XLOOKUP(C419,customers!$A$1:$A$1001,customers!$C$1:$C$1001,,0),IF(_xlpm.val=0,"",_xlpm.val))</f>
        <v/>
      </c>
      <c r="H419" s="2" t="str">
        <f>_xlfn.LET(_xlpm.val,_xlfn.XLOOKUP(C419,customers!$A$1:$A$1001,customers!$G$1:$G$1001,,0),IF(_xlpm.val=0,"",_xlpm.val))</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cm="1">
        <f t="array" ref="N419">_xlfn.SWITCH(I419,"rob","Robusta","exc","Excelsa","Ara","Arabica","Lib","Liberica","")</f>
        <v>Arabica</v>
      </c>
      <c r="O419" t="str" cm="1">
        <f t="array" ref="O419">_xlfn.SWITCH(J419,"M","Medium","D","Dark","L","Light")</f>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_xlfn.LET(_xlpm.val,_xlfn.XLOOKUP(C420,customers!$A$1:$A$1001,customers!$C$1:$C$1001,,0),IF(_xlpm.val=0,"",_xlpm.val))</f>
        <v>bmcgilvrabm@so-net.ne.jp</v>
      </c>
      <c r="H420" s="2" t="str">
        <f>_xlfn.LET(_xlpm.val,_xlfn.XLOOKUP(C420,customers!$A$1:$A$1001,customers!$G$1:$G$1001,,0),IF(_xlpm.val=0,"",_xlpm.val))</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cm="1">
        <f t="array" ref="N420">_xlfn.SWITCH(I420,"rob","Robusta","exc","Excelsa","Ara","Arabica","Lib","Liberica","")</f>
        <v>Arabica</v>
      </c>
      <c r="O420" t="str" cm="1">
        <f t="array" ref="O420">_xlfn.SWITCH(J420,"M","Medium","D","Dark","L","Light")</f>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_xlfn.LET(_xlpm.val,_xlfn.XLOOKUP(C421,customers!$A$1:$A$1001,customers!$C$1:$C$1001,,0),IF(_xlpm.val=0,"",_xlpm.val))</f>
        <v>adanzeybn@github.com</v>
      </c>
      <c r="H421" s="2" t="str">
        <f>_xlfn.LET(_xlpm.val,_xlfn.XLOOKUP(C421,customers!$A$1:$A$1001,customers!$G$1:$G$1001,,0),IF(_xlpm.val=0,"",_xlpm.val))</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cm="1">
        <f t="array" ref="N421">_xlfn.SWITCH(I421,"rob","Robusta","exc","Excelsa","Ara","Arabica","Lib","Liberica","")</f>
        <v>Liberica</v>
      </c>
      <c r="O421" t="str" cm="1">
        <f t="array" ref="O421">_xlfn.SWITCH(J421,"M","Medium","D","Dark","L","Light")</f>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_xlfn.LET(_xlpm.val,_xlfn.XLOOKUP(C422,customers!$A$1:$A$1001,customers!$C$1:$C$1001,,0),IF(_xlpm.val=0,"",_xlpm.val))</f>
        <v>tfarraac@behance.net</v>
      </c>
      <c r="H422" s="2" t="str">
        <f>_xlfn.LET(_xlpm.val,_xlfn.XLOOKUP(C422,customers!$A$1:$A$1001,customers!$G$1:$G$1001,,0),IF(_xlpm.val=0,"",_xlpm.val))</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cm="1">
        <f t="array" ref="N422">_xlfn.SWITCH(I422,"rob","Robusta","exc","Excelsa","Ara","Arabica","Lib","Liberica","")</f>
        <v>Liberica</v>
      </c>
      <c r="O422" t="str" cm="1">
        <f t="array" ref="O422">_xlfn.SWITCH(J422,"M","Medium","D","Dark","L","Light")</f>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_xlfn.LET(_xlpm.val,_xlfn.XLOOKUP(C423,customers!$A$1:$A$1001,customers!$C$1:$C$1001,,0),IF(_xlpm.val=0,"",_xlpm.val))</f>
        <v>tfarraac@behance.net</v>
      </c>
      <c r="H423" s="2" t="str">
        <f>_xlfn.LET(_xlpm.val,_xlfn.XLOOKUP(C423,customers!$A$1:$A$1001,customers!$G$1:$G$1001,,0),IF(_xlpm.val=0,"",_xlpm.val))</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cm="1">
        <f t="array" ref="N423">_xlfn.SWITCH(I423,"rob","Robusta","exc","Excelsa","Ara","Arabica","Lib","Liberica","")</f>
        <v>Arabica</v>
      </c>
      <c r="O423" t="str" cm="1">
        <f t="array" ref="O423">_xlfn.SWITCH(J423,"M","Medium","D","Dark","L","Light")</f>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_xlfn.LET(_xlpm.val,_xlfn.XLOOKUP(C424,customers!$A$1:$A$1001,customers!$C$1:$C$1001,,0),IF(_xlpm.val=0,"",_xlpm.val))</f>
        <v/>
      </c>
      <c r="H424" s="2" t="str">
        <f>_xlfn.LET(_xlpm.val,_xlfn.XLOOKUP(C424,customers!$A$1:$A$1001,customers!$G$1:$G$1001,,0),IF(_xlpm.val=0,"",_xlpm.val))</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cm="1">
        <f t="array" ref="N424">_xlfn.SWITCH(I424,"rob","Robusta","exc","Excelsa","Ara","Arabica","Lib","Liberica","")</f>
        <v>Arabica</v>
      </c>
      <c r="O424" t="str" cm="1">
        <f t="array" ref="O424">_xlfn.SWITCH(J424,"M","Medium","D","Dark","L","Light")</f>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_xlfn.LET(_xlpm.val,_xlfn.XLOOKUP(C425,customers!$A$1:$A$1001,customers!$C$1:$C$1001,,0),IF(_xlpm.val=0,"",_xlpm.val))</f>
        <v/>
      </c>
      <c r="H425" s="2" t="str">
        <f>_xlfn.LET(_xlpm.val,_xlfn.XLOOKUP(C425,customers!$A$1:$A$1001,customers!$G$1:$G$1001,,0),IF(_xlpm.val=0,"",_xlpm.val))</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cm="1">
        <f t="array" ref="N425">_xlfn.SWITCH(I425,"rob","Robusta","exc","Excelsa","Ara","Arabica","Lib","Liberica","")</f>
        <v>Robusta</v>
      </c>
      <c r="O425" t="str" cm="1">
        <f t="array" ref="O425">_xlfn.SWITCH(J425,"M","Medium","D","Dark","L","Light")</f>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_xlfn.LET(_xlpm.val,_xlfn.XLOOKUP(C426,customers!$A$1:$A$1001,customers!$C$1:$C$1001,,0),IF(_xlpm.val=0,"",_xlpm.val))</f>
        <v>ydombrellbs@dedecms.com</v>
      </c>
      <c r="H426" s="2" t="str">
        <f>_xlfn.LET(_xlpm.val,_xlfn.XLOOKUP(C426,customers!$A$1:$A$1001,customers!$G$1:$G$1001,,0),IF(_xlpm.val=0,"",_xlpm.val))</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cm="1">
        <f t="array" ref="N426">_xlfn.SWITCH(I426,"rob","Robusta","exc","Excelsa","Ara","Arabica","Lib","Liberica","")</f>
        <v>Excelsa</v>
      </c>
      <c r="O426" t="str" cm="1">
        <f t="array" ref="O426">_xlfn.SWITCH(J426,"M","Medium","D","Dark","L","Light")</f>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_xlfn.LET(_xlpm.val,_xlfn.XLOOKUP(C427,customers!$A$1:$A$1001,customers!$C$1:$C$1001,,0),IF(_xlpm.val=0,"",_xlpm.val))</f>
        <v>adarthbt@t.co</v>
      </c>
      <c r="H427" s="2" t="str">
        <f>_xlfn.LET(_xlpm.val,_xlfn.XLOOKUP(C427,customers!$A$1:$A$1001,customers!$G$1:$G$1001,,0),IF(_xlpm.val=0,"",_xlpm.val))</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cm="1">
        <f t="array" ref="N427">_xlfn.SWITCH(I427,"rob","Robusta","exc","Excelsa","Ara","Arabica","Lib","Liberica","")</f>
        <v>Robusta</v>
      </c>
      <c r="O427" t="str" cm="1">
        <f t="array" ref="O427">_xlfn.SWITCH(J427,"M","Medium","D","Dark","L","Light")</f>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_xlfn.LET(_xlpm.val,_xlfn.XLOOKUP(C428,customers!$A$1:$A$1001,customers!$C$1:$C$1001,,0),IF(_xlpm.val=0,"",_xlpm.val))</f>
        <v>mdarrigoebu@hud.gov</v>
      </c>
      <c r="H428" s="2" t="str">
        <f>_xlfn.LET(_xlpm.val,_xlfn.XLOOKUP(C428,customers!$A$1:$A$1001,customers!$G$1:$G$1001,,0),IF(_xlpm.val=0,"",_xlpm.val))</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cm="1">
        <f t="array" ref="N428">_xlfn.SWITCH(I428,"rob","Robusta","exc","Excelsa","Ara","Arabica","Lib","Liberica","")</f>
        <v>Robusta</v>
      </c>
      <c r="O428" t="str" cm="1">
        <f t="array" ref="O428">_xlfn.SWITCH(J428,"M","Medium","D","Dark","L","Light")</f>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_xlfn.LET(_xlpm.val,_xlfn.XLOOKUP(C429,customers!$A$1:$A$1001,customers!$C$1:$C$1001,,0),IF(_xlpm.val=0,"",_xlpm.val))</f>
        <v/>
      </c>
      <c r="H429" s="2" t="str">
        <f>_xlfn.LET(_xlpm.val,_xlfn.XLOOKUP(C429,customers!$A$1:$A$1001,customers!$G$1:$G$1001,,0),IF(_xlpm.val=0,"",_xlpm.val))</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cm="1">
        <f t="array" ref="N429">_xlfn.SWITCH(I429,"rob","Robusta","exc","Excelsa","Ara","Arabica","Lib","Liberica","")</f>
        <v>Arabica</v>
      </c>
      <c r="O429" t="str" cm="1">
        <f t="array" ref="O429">_xlfn.SWITCH(J429,"M","Medium","D","Dark","L","Light")</f>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_xlfn.LET(_xlpm.val,_xlfn.XLOOKUP(C430,customers!$A$1:$A$1001,customers!$C$1:$C$1001,,0),IF(_xlpm.val=0,"",_xlpm.val))</f>
        <v>mackrillbw@bandcamp.com</v>
      </c>
      <c r="H430" s="2" t="str">
        <f>_xlfn.LET(_xlpm.val,_xlfn.XLOOKUP(C430,customers!$A$1:$A$1001,customers!$G$1:$G$1001,,0),IF(_xlpm.val=0,"",_xlpm.val))</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cm="1">
        <f t="array" ref="N430">_xlfn.SWITCH(I430,"rob","Robusta","exc","Excelsa","Ara","Arabica","Lib","Liberica","")</f>
        <v>Robusta</v>
      </c>
      <c r="O430" t="str" cm="1">
        <f t="array" ref="O430">_xlfn.SWITCH(J430,"M","Medium","D","Dark","L","Light")</f>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_xlfn.LET(_xlpm.val,_xlfn.XLOOKUP(C431,customers!$A$1:$A$1001,customers!$C$1:$C$1001,,0),IF(_xlpm.val=0,"",_xlpm.val))</f>
        <v>tfarraac@behance.net</v>
      </c>
      <c r="H431" s="2" t="str">
        <f>_xlfn.LET(_xlpm.val,_xlfn.XLOOKUP(C431,customers!$A$1:$A$1001,customers!$G$1:$G$1001,,0),IF(_xlpm.val=0,"",_xlpm.val))</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cm="1">
        <f t="array" ref="N431">_xlfn.SWITCH(I431,"rob","Robusta","exc","Excelsa","Ara","Arabica","Lib","Liberica","")</f>
        <v>Arabica</v>
      </c>
      <c r="O431" t="str" cm="1">
        <f t="array" ref="O431">_xlfn.SWITCH(J431,"M","Medium","D","Dark","L","Light")</f>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_xlfn.LET(_xlpm.val,_xlfn.XLOOKUP(C432,customers!$A$1:$A$1001,customers!$C$1:$C$1001,,0),IF(_xlpm.val=0,"",_xlpm.val))</f>
        <v>mkippenby@dion.ne.jp</v>
      </c>
      <c r="H432" s="2" t="str">
        <f>_xlfn.LET(_xlpm.val,_xlfn.XLOOKUP(C432,customers!$A$1:$A$1001,customers!$G$1:$G$1001,,0),IF(_xlpm.val=0,"",_xlpm.val))</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cm="1">
        <f t="array" ref="N432">_xlfn.SWITCH(I432,"rob","Robusta","exc","Excelsa","Ara","Arabica","Lib","Liberica","")</f>
        <v>Robusta</v>
      </c>
      <c r="O432" t="str" cm="1">
        <f t="array" ref="O432">_xlfn.SWITCH(J432,"M","Medium","D","Dark","L","Light")</f>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_xlfn.LET(_xlpm.val,_xlfn.XLOOKUP(C433,customers!$A$1:$A$1001,customers!$C$1:$C$1001,,0),IF(_xlpm.val=0,"",_xlpm.val))</f>
        <v>wransonbz@ted.com</v>
      </c>
      <c r="H433" s="2" t="str">
        <f>_xlfn.LET(_xlpm.val,_xlfn.XLOOKUP(C433,customers!$A$1:$A$1001,customers!$G$1:$G$1001,,0),IF(_xlpm.val=0,"",_xlpm.val))</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cm="1">
        <f t="array" ref="N433">_xlfn.SWITCH(I433,"rob","Robusta","exc","Excelsa","Ara","Arabica","Lib","Liberica","")</f>
        <v>Excelsa</v>
      </c>
      <c r="O433" t="str" cm="1">
        <f t="array" ref="O433">_xlfn.SWITCH(J433,"M","Medium","D","Dark","L","Light")</f>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_xlfn.LET(_xlpm.val,_xlfn.XLOOKUP(C434,customers!$A$1:$A$1001,customers!$C$1:$C$1001,,0),IF(_xlpm.val=0,"",_xlpm.val))</f>
        <v/>
      </c>
      <c r="H434" s="2" t="str">
        <f>_xlfn.LET(_xlpm.val,_xlfn.XLOOKUP(C434,customers!$A$1:$A$1001,customers!$G$1:$G$1001,,0),IF(_xlpm.val=0,"",_xlpm.val))</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cm="1">
        <f t="array" ref="N434">_xlfn.SWITCH(I434,"rob","Robusta","exc","Excelsa","Ara","Arabica","Lib","Liberica","")</f>
        <v>Arabica</v>
      </c>
      <c r="O434" t="str" cm="1">
        <f t="array" ref="O434">_xlfn.SWITCH(J434,"M","Medium","D","Dark","L","Light")</f>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_xlfn.LET(_xlpm.val,_xlfn.XLOOKUP(C435,customers!$A$1:$A$1001,customers!$C$1:$C$1001,,0),IF(_xlpm.val=0,"",_xlpm.val))</f>
        <v>lrignoldc1@miibeian.gov.cn</v>
      </c>
      <c r="H435" s="2" t="str">
        <f>_xlfn.LET(_xlpm.val,_xlfn.XLOOKUP(C435,customers!$A$1:$A$1001,customers!$G$1:$G$1001,,0),IF(_xlpm.val=0,"",_xlpm.val))</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cm="1">
        <f t="array" ref="N435">_xlfn.SWITCH(I435,"rob","Robusta","exc","Excelsa","Ara","Arabica","Lib","Liberica","")</f>
        <v>Liberica</v>
      </c>
      <c r="O435" t="str" cm="1">
        <f t="array" ref="O435">_xlfn.SWITCH(J435,"M","Medium","D","Dark","L","Light")</f>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_xlfn.LET(_xlpm.val,_xlfn.XLOOKUP(C436,customers!$A$1:$A$1001,customers!$C$1:$C$1001,,0),IF(_xlpm.val=0,"",_xlpm.val))</f>
        <v/>
      </c>
      <c r="H436" s="2" t="str">
        <f>_xlfn.LET(_xlpm.val,_xlfn.XLOOKUP(C436,customers!$A$1:$A$1001,customers!$G$1:$G$1001,,0),IF(_xlpm.val=0,"",_xlpm.val))</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cm="1">
        <f t="array" ref="N436">_xlfn.SWITCH(I436,"rob","Robusta","exc","Excelsa","Ara","Arabica","Lib","Liberica","")</f>
        <v>Arabica</v>
      </c>
      <c r="O436" t="str" cm="1">
        <f t="array" ref="O436">_xlfn.SWITCH(J436,"M","Medium","D","Dark","L","Light")</f>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_xlfn.LET(_xlpm.val,_xlfn.XLOOKUP(C437,customers!$A$1:$A$1001,customers!$C$1:$C$1001,,0),IF(_xlpm.val=0,"",_xlpm.val))</f>
        <v>crowthornc3@msn.com</v>
      </c>
      <c r="H437" s="2" t="str">
        <f>_xlfn.LET(_xlpm.val,_xlfn.XLOOKUP(C437,customers!$A$1:$A$1001,customers!$G$1:$G$1001,,0),IF(_xlpm.val=0,"",_xlpm.val))</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cm="1">
        <f t="array" ref="N437">_xlfn.SWITCH(I437,"rob","Robusta","exc","Excelsa","Ara","Arabica","Lib","Liberica","")</f>
        <v>Excelsa</v>
      </c>
      <c r="O437" t="str" cm="1">
        <f t="array" ref="O437">_xlfn.SWITCH(J437,"M","Medium","D","Dark","L","Light")</f>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_xlfn.LET(_xlpm.val,_xlfn.XLOOKUP(C438,customers!$A$1:$A$1001,customers!$C$1:$C$1001,,0),IF(_xlpm.val=0,"",_xlpm.val))</f>
        <v>orylandc4@deviantart.com</v>
      </c>
      <c r="H438" s="2" t="str">
        <f>_xlfn.LET(_xlpm.val,_xlfn.XLOOKUP(C438,customers!$A$1:$A$1001,customers!$G$1:$G$1001,,0),IF(_xlpm.val=0,"",_xlpm.val))</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cm="1">
        <f t="array" ref="N438">_xlfn.SWITCH(I438,"rob","Robusta","exc","Excelsa","Ara","Arabica","Lib","Liberica","")</f>
        <v>Liberica</v>
      </c>
      <c r="O438" t="str" cm="1">
        <f t="array" ref="O438">_xlfn.SWITCH(J438,"M","Medium","D","Dark","L","Light")</f>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_xlfn.LET(_xlpm.val,_xlfn.XLOOKUP(C439,customers!$A$1:$A$1001,customers!$C$1:$C$1001,,0),IF(_xlpm.val=0,"",_xlpm.val))</f>
        <v/>
      </c>
      <c r="H439" s="2" t="str">
        <f>_xlfn.LET(_xlpm.val,_xlfn.XLOOKUP(C439,customers!$A$1:$A$1001,customers!$G$1:$G$1001,,0),IF(_xlpm.val=0,"",_xlpm.val))</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cm="1">
        <f t="array" ref="N439">_xlfn.SWITCH(I439,"rob","Robusta","exc","Excelsa","Ara","Arabica","Lib","Liberica","")</f>
        <v>Liberica</v>
      </c>
      <c r="O439" t="str" cm="1">
        <f t="array" ref="O439">_xlfn.SWITCH(J439,"M","Medium","D","Dark","L","Light")</f>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_xlfn.LET(_xlpm.val,_xlfn.XLOOKUP(C440,customers!$A$1:$A$1001,customers!$C$1:$C$1001,,0),IF(_xlpm.val=0,"",_xlpm.val))</f>
        <v>msesonck@census.gov</v>
      </c>
      <c r="H440" s="2" t="str">
        <f>_xlfn.LET(_xlpm.val,_xlfn.XLOOKUP(C440,customers!$A$1:$A$1001,customers!$G$1:$G$1001,,0),IF(_xlpm.val=0,"",_xlpm.val))</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cm="1">
        <f t="array" ref="N440">_xlfn.SWITCH(I440,"rob","Robusta","exc","Excelsa","Ara","Arabica","Lib","Liberica","")</f>
        <v>Liberica</v>
      </c>
      <c r="O440" t="str" cm="1">
        <f t="array" ref="O440">_xlfn.SWITCH(J440,"M","Medium","D","Dark","L","Light")</f>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_xlfn.LET(_xlpm.val,_xlfn.XLOOKUP(C441,customers!$A$1:$A$1001,customers!$C$1:$C$1001,,0),IF(_xlpm.val=0,"",_xlpm.val))</f>
        <v>craglessc7@webmd.com</v>
      </c>
      <c r="H441" s="2" t="str">
        <f>_xlfn.LET(_xlpm.val,_xlfn.XLOOKUP(C441,customers!$A$1:$A$1001,customers!$G$1:$G$1001,,0),IF(_xlpm.val=0,"",_xlpm.val))</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cm="1">
        <f t="array" ref="N441">_xlfn.SWITCH(I441,"rob","Robusta","exc","Excelsa","Ara","Arabica","Lib","Liberica","")</f>
        <v>Excelsa</v>
      </c>
      <c r="O441" t="str" cm="1">
        <f t="array" ref="O441">_xlfn.SWITCH(J441,"M","Medium","D","Dark","L","Light")</f>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_xlfn.LET(_xlpm.val,_xlfn.XLOOKUP(C442,customers!$A$1:$A$1001,customers!$C$1:$C$1001,,0),IF(_xlpm.val=0,"",_xlpm.val))</f>
        <v>fhollowsc8@blogtalkradio.com</v>
      </c>
      <c r="H442" s="2" t="str">
        <f>_xlfn.LET(_xlpm.val,_xlfn.XLOOKUP(C442,customers!$A$1:$A$1001,customers!$G$1:$G$1001,,0),IF(_xlpm.val=0,"",_xlpm.val))</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cm="1">
        <f t="array" ref="N442">_xlfn.SWITCH(I442,"rob","Robusta","exc","Excelsa","Ara","Arabica","Lib","Liberica","")</f>
        <v>Arabica</v>
      </c>
      <c r="O442" t="str" cm="1">
        <f t="array" ref="O442">_xlfn.SWITCH(J442,"M","Medium","D","Dark","L","Light")</f>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_xlfn.LET(_xlpm.val,_xlfn.XLOOKUP(C443,customers!$A$1:$A$1001,customers!$C$1:$C$1001,,0),IF(_xlpm.val=0,"",_xlpm.val))</f>
        <v>llathleiffc9@nationalgeographic.com</v>
      </c>
      <c r="H443" s="2" t="str">
        <f>_xlfn.LET(_xlpm.val,_xlfn.XLOOKUP(C443,customers!$A$1:$A$1001,customers!$G$1:$G$1001,,0),IF(_xlpm.val=0,"",_xlpm.val))</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cm="1">
        <f t="array" ref="N443">_xlfn.SWITCH(I443,"rob","Robusta","exc","Excelsa","Ara","Arabica","Lib","Liberica","")</f>
        <v>Excelsa</v>
      </c>
      <c r="O443" t="str" cm="1">
        <f t="array" ref="O443">_xlfn.SWITCH(J443,"M","Medium","D","Dark","L","Light")</f>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_xlfn.LET(_xlpm.val,_xlfn.XLOOKUP(C444,customers!$A$1:$A$1001,customers!$C$1:$C$1001,,0),IF(_xlpm.val=0,"",_xlpm.val))</f>
        <v>kheadsca@jalbum.net</v>
      </c>
      <c r="H444" s="2" t="str">
        <f>_xlfn.LET(_xlpm.val,_xlfn.XLOOKUP(C444,customers!$A$1:$A$1001,customers!$G$1:$G$1001,,0),IF(_xlpm.val=0,"",_xlpm.val))</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cm="1">
        <f t="array" ref="N444">_xlfn.SWITCH(I444,"rob","Robusta","exc","Excelsa","Ara","Arabica","Lib","Liberica","")</f>
        <v>Robusta</v>
      </c>
      <c r="O444" t="str" cm="1">
        <f t="array" ref="O444">_xlfn.SWITCH(J444,"M","Medium","D","Dark","L","Light")</f>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_xlfn.LET(_xlpm.val,_xlfn.XLOOKUP(C445,customers!$A$1:$A$1001,customers!$C$1:$C$1001,,0),IF(_xlpm.val=0,"",_xlpm.val))</f>
        <v>tbownecb@unicef.org</v>
      </c>
      <c r="H445" s="2" t="str">
        <f>_xlfn.LET(_xlpm.val,_xlfn.XLOOKUP(C445,customers!$A$1:$A$1001,customers!$G$1:$G$1001,,0),IF(_xlpm.val=0,"",_xlpm.val))</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cm="1">
        <f t="array" ref="N445">_xlfn.SWITCH(I445,"rob","Robusta","exc","Excelsa","Ara","Arabica","Lib","Liberica","")</f>
        <v>Excelsa</v>
      </c>
      <c r="O445" t="str" cm="1">
        <f t="array" ref="O445">_xlfn.SWITCH(J445,"M","Medium","D","Dark","L","Light")</f>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_xlfn.LET(_xlpm.val,_xlfn.XLOOKUP(C446,customers!$A$1:$A$1001,customers!$C$1:$C$1001,,0),IF(_xlpm.val=0,"",_xlpm.val))</f>
        <v>rjacquemardcc@acquirethisname.com</v>
      </c>
      <c r="H446" s="2" t="str">
        <f>_xlfn.LET(_xlpm.val,_xlfn.XLOOKUP(C446,customers!$A$1:$A$1001,customers!$G$1:$G$1001,,0),IF(_xlpm.val=0,"",_xlpm.val))</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cm="1">
        <f t="array" ref="N446">_xlfn.SWITCH(I446,"rob","Robusta","exc","Excelsa","Ara","Arabica","Lib","Liberica","")</f>
        <v>Excelsa</v>
      </c>
      <c r="O446" t="str" cm="1">
        <f t="array" ref="O446">_xlfn.SWITCH(J446,"M","Medium","D","Dark","L","Light")</f>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_xlfn.LET(_xlpm.val,_xlfn.XLOOKUP(C447,customers!$A$1:$A$1001,customers!$C$1:$C$1001,,0),IF(_xlpm.val=0,"",_xlpm.val))</f>
        <v>kwarmancd@printfriendly.com</v>
      </c>
      <c r="H447" s="2" t="str">
        <f>_xlfn.LET(_xlpm.val,_xlfn.XLOOKUP(C447,customers!$A$1:$A$1001,customers!$G$1:$G$1001,,0),IF(_xlpm.val=0,"",_xlpm.val))</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cm="1">
        <f t="array" ref="N447">_xlfn.SWITCH(I447,"rob","Robusta","exc","Excelsa","Ara","Arabica","Lib","Liberica","")</f>
        <v>Liberica</v>
      </c>
      <c r="O447" t="str" cm="1">
        <f t="array" ref="O447">_xlfn.SWITCH(J447,"M","Medium","D","Dark","L","Light")</f>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_xlfn.LET(_xlpm.val,_xlfn.XLOOKUP(C448,customers!$A$1:$A$1001,customers!$C$1:$C$1001,,0),IF(_xlpm.val=0,"",_xlpm.val))</f>
        <v>wcholomince@about.com</v>
      </c>
      <c r="H448" s="2" t="str">
        <f>_xlfn.LET(_xlpm.val,_xlfn.XLOOKUP(C448,customers!$A$1:$A$1001,customers!$G$1:$G$1001,,0),IF(_xlpm.val=0,"",_xlpm.val))</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cm="1">
        <f t="array" ref="N448">_xlfn.SWITCH(I448,"rob","Robusta","exc","Excelsa","Ara","Arabica","Lib","Liberica","")</f>
        <v>Liberica</v>
      </c>
      <c r="O448" t="str" cm="1">
        <f t="array" ref="O448">_xlfn.SWITCH(J448,"M","Medium","D","Dark","L","Light")</f>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_xlfn.LET(_xlpm.val,_xlfn.XLOOKUP(C449,customers!$A$1:$A$1001,customers!$C$1:$C$1001,,0),IF(_xlpm.val=0,"",_xlpm.val))</f>
        <v>abraidmancf@census.gov</v>
      </c>
      <c r="H449" s="2" t="str">
        <f>_xlfn.LET(_xlpm.val,_xlfn.XLOOKUP(C449,customers!$A$1:$A$1001,customers!$G$1:$G$1001,,0),IF(_xlpm.val=0,"",_xlpm.val))</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cm="1">
        <f t="array" ref="N449">_xlfn.SWITCH(I449,"rob","Robusta","exc","Excelsa","Ara","Arabica","Lib","Liberica","")</f>
        <v>Robusta</v>
      </c>
      <c r="O449" t="str" cm="1">
        <f t="array" ref="O449">_xlfn.SWITCH(J449,"M","Medium","D","Dark","L","Light")</f>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_xlfn.LET(_xlpm.val,_xlfn.XLOOKUP(C450,customers!$A$1:$A$1001,customers!$C$1:$C$1001,,0),IF(_xlpm.val=0,"",_xlpm.val))</f>
        <v>pdurbancg@symantec.com</v>
      </c>
      <c r="H450" s="2" t="str">
        <f>_xlfn.LET(_xlpm.val,_xlfn.XLOOKUP(C450,customers!$A$1:$A$1001,customers!$G$1:$G$1001,,0),IF(_xlpm.val=0,"",_xlpm.val))</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cm="1">
        <f t="array" ref="N450">_xlfn.SWITCH(I450,"rob","Robusta","exc","Excelsa","Ara","Arabica","Lib","Liberica","")</f>
        <v>Robusta</v>
      </c>
      <c r="O450" t="str" cm="1">
        <f t="array" ref="O450">_xlfn.SWITCH(J450,"M","Medium","D","Dark","L","Light")</f>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_xlfn.LET(_xlpm.val,_xlfn.XLOOKUP(C451,customers!$A$1:$A$1001,customers!$C$1:$C$1001,,0),IF(_xlpm.val=0,"",_xlpm.val))</f>
        <v>aharroldch@miibeian.gov.cn</v>
      </c>
      <c r="H451" s="2" t="str">
        <f>_xlfn.LET(_xlpm.val,_xlfn.XLOOKUP(C451,customers!$A$1:$A$1001,customers!$G$1:$G$1001,,0),IF(_xlpm.val=0,"",_xlpm.val))</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L451*E451</f>
        <v>5.3699999999999992</v>
      </c>
      <c r="N451" t="str" cm="1">
        <f t="array" ref="N451">_xlfn.SWITCH(I451,"rob","Robusta","exc","Excelsa","Ara","Arabica","Lib","Liberica","")</f>
        <v>Robusta</v>
      </c>
      <c r="O451" t="str" cm="1">
        <f t="array" ref="O451">_xlfn.SWITCH(J451,"M","Medium","D","Dark","L","Light")</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_xlfn.LET(_xlpm.val,_xlfn.XLOOKUP(C452,customers!$A$1:$A$1001,customers!$C$1:$C$1001,,0),IF(_xlpm.val=0,"",_xlpm.val))</f>
        <v>spamphilonci@mlb.com</v>
      </c>
      <c r="H452" s="2" t="str">
        <f>_xlfn.LET(_xlpm.val,_xlfn.XLOOKUP(C452,customers!$A$1:$A$1001,customers!$G$1:$G$1001,,0),IF(_xlpm.val=0,"",_xlpm.val))</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cm="1">
        <f t="array" ref="N452">_xlfn.SWITCH(I452,"rob","Robusta","exc","Excelsa","Ara","Arabica","Lib","Liberica","")</f>
        <v>Liberica</v>
      </c>
      <c r="O452" t="str" cm="1">
        <f t="array" ref="O452">_xlfn.SWITCH(J452,"M","Medium","D","Dark","L","Light")</f>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_xlfn.LET(_xlpm.val,_xlfn.XLOOKUP(C453,customers!$A$1:$A$1001,customers!$C$1:$C$1001,,0),IF(_xlpm.val=0,"",_xlpm.val))</f>
        <v>mspurdencj@exblog.jp</v>
      </c>
      <c r="H453" s="2" t="str">
        <f>_xlfn.LET(_xlpm.val,_xlfn.XLOOKUP(C453,customers!$A$1:$A$1001,customers!$G$1:$G$1001,,0),IF(_xlpm.val=0,"",_xlpm.val))</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cm="1">
        <f t="array" ref="N453">_xlfn.SWITCH(I453,"rob","Robusta","exc","Excelsa","Ara","Arabica","Lib","Liberica","")</f>
        <v>Robusta</v>
      </c>
      <c r="O453" t="str" cm="1">
        <f t="array" ref="O453">_xlfn.SWITCH(J453,"M","Medium","D","Dark","L","Light")</f>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_xlfn.LET(_xlpm.val,_xlfn.XLOOKUP(C454,customers!$A$1:$A$1001,customers!$C$1:$C$1001,,0),IF(_xlpm.val=0,"",_xlpm.val))</f>
        <v>msesonck@census.gov</v>
      </c>
      <c r="H454" s="2" t="str">
        <f>_xlfn.LET(_xlpm.val,_xlfn.XLOOKUP(C454,customers!$A$1:$A$1001,customers!$G$1:$G$1001,,0),IF(_xlpm.val=0,"",_xlpm.val))</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cm="1">
        <f t="array" ref="N454">_xlfn.SWITCH(I454,"rob","Robusta","exc","Excelsa","Ara","Arabica","Lib","Liberica","")</f>
        <v>Arabica</v>
      </c>
      <c r="O454" t="str" cm="1">
        <f t="array" ref="O454">_xlfn.SWITCH(J454,"M","Medium","D","Dark","L","Light")</f>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_xlfn.LET(_xlpm.val,_xlfn.XLOOKUP(C455,customers!$A$1:$A$1001,customers!$C$1:$C$1001,,0),IF(_xlpm.val=0,"",_xlpm.val))</f>
        <v>npirronecl@weibo.com</v>
      </c>
      <c r="H455" s="2" t="str">
        <f>_xlfn.LET(_xlpm.val,_xlfn.XLOOKUP(C455,customers!$A$1:$A$1001,customers!$G$1:$G$1001,,0),IF(_xlpm.val=0,"",_xlpm.val))</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cm="1">
        <f t="array" ref="N455">_xlfn.SWITCH(I455,"rob","Robusta","exc","Excelsa","Ara","Arabica","Lib","Liberica","")</f>
        <v>Liberica</v>
      </c>
      <c r="O455" t="str" cm="1">
        <f t="array" ref="O455">_xlfn.SWITCH(J455,"M","Medium","D","Dark","L","Light")</f>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_xlfn.LET(_xlpm.val,_xlfn.XLOOKUP(C456,customers!$A$1:$A$1001,customers!$C$1:$C$1001,,0),IF(_xlpm.val=0,"",_xlpm.val))</f>
        <v>rcawleycm@yellowbook.com</v>
      </c>
      <c r="H456" s="2" t="str">
        <f>_xlfn.LET(_xlpm.val,_xlfn.XLOOKUP(C456,customers!$A$1:$A$1001,customers!$G$1:$G$1001,,0),IF(_xlpm.val=0,"",_xlpm.val))</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cm="1">
        <f t="array" ref="N456">_xlfn.SWITCH(I456,"rob","Robusta","exc","Excelsa","Ara","Arabica","Lib","Liberica","")</f>
        <v>Robusta</v>
      </c>
      <c r="O456" t="str" cm="1">
        <f t="array" ref="O456">_xlfn.SWITCH(J456,"M","Medium","D","Dark","L","Light")</f>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_xlfn.LET(_xlpm.val,_xlfn.XLOOKUP(C457,customers!$A$1:$A$1001,customers!$C$1:$C$1001,,0),IF(_xlpm.val=0,"",_xlpm.val))</f>
        <v>sbarribalcn@microsoft.com</v>
      </c>
      <c r="H457" s="2" t="str">
        <f>_xlfn.LET(_xlpm.val,_xlfn.XLOOKUP(C457,customers!$A$1:$A$1001,customers!$G$1:$G$1001,,0),IF(_xlpm.val=0,"",_xlpm.val))</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cm="1">
        <f t="array" ref="N457">_xlfn.SWITCH(I457,"rob","Robusta","exc","Excelsa","Ara","Arabica","Lib","Liberica","")</f>
        <v>Liberica</v>
      </c>
      <c r="O457" t="str" cm="1">
        <f t="array" ref="O457">_xlfn.SWITCH(J457,"M","Medium","D","Dark","L","Light")</f>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_xlfn.LET(_xlpm.val,_xlfn.XLOOKUP(C458,customers!$A$1:$A$1001,customers!$C$1:$C$1001,,0),IF(_xlpm.val=0,"",_xlpm.val))</f>
        <v>aadamidesco@bizjournals.com</v>
      </c>
      <c r="H458" s="2" t="str">
        <f>_xlfn.LET(_xlpm.val,_xlfn.XLOOKUP(C458,customers!$A$1:$A$1001,customers!$G$1:$G$1001,,0),IF(_xlpm.val=0,"",_xlpm.val))</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cm="1">
        <f t="array" ref="N458">_xlfn.SWITCH(I458,"rob","Robusta","exc","Excelsa","Ara","Arabica","Lib","Liberica","")</f>
        <v>Robusta</v>
      </c>
      <c r="O458" t="str" cm="1">
        <f t="array" ref="O458">_xlfn.SWITCH(J458,"M","Medium","D","Dark","L","Light")</f>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_xlfn.LET(_xlpm.val,_xlfn.XLOOKUP(C459,customers!$A$1:$A$1001,customers!$C$1:$C$1001,,0),IF(_xlpm.val=0,"",_xlpm.val))</f>
        <v>cthowescp@craigslist.org</v>
      </c>
      <c r="H459" s="2" t="str">
        <f>_xlfn.LET(_xlpm.val,_xlfn.XLOOKUP(C459,customers!$A$1:$A$1001,customers!$G$1:$G$1001,,0),IF(_xlpm.val=0,"",_xlpm.val))</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cm="1">
        <f t="array" ref="N459">_xlfn.SWITCH(I459,"rob","Robusta","exc","Excelsa","Ara","Arabica","Lib","Liberica","")</f>
        <v>Liberica</v>
      </c>
      <c r="O459" t="str" cm="1">
        <f t="array" ref="O459">_xlfn.SWITCH(J459,"M","Medium","D","Dark","L","Light")</f>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_xlfn.LET(_xlpm.val,_xlfn.XLOOKUP(C460,customers!$A$1:$A$1001,customers!$C$1:$C$1001,,0),IF(_xlpm.val=0,"",_xlpm.val))</f>
        <v>rwillowaycq@admin.ch</v>
      </c>
      <c r="H460" s="2" t="str">
        <f>_xlfn.LET(_xlpm.val,_xlfn.XLOOKUP(C460,customers!$A$1:$A$1001,customers!$G$1:$G$1001,,0),IF(_xlpm.val=0,"",_xlpm.val))</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cm="1">
        <f t="array" ref="N460">_xlfn.SWITCH(I460,"rob","Robusta","exc","Excelsa","Ara","Arabica","Lib","Liberica","")</f>
        <v>Arabica</v>
      </c>
      <c r="O460" t="str" cm="1">
        <f t="array" ref="O460">_xlfn.SWITCH(J460,"M","Medium","D","Dark","L","Light")</f>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_xlfn.LET(_xlpm.val,_xlfn.XLOOKUP(C461,customers!$A$1:$A$1001,customers!$C$1:$C$1001,,0),IF(_xlpm.val=0,"",_xlpm.val))</f>
        <v>aelwincr@privacy.gov.au</v>
      </c>
      <c r="H461" s="2" t="str">
        <f>_xlfn.LET(_xlpm.val,_xlfn.XLOOKUP(C461,customers!$A$1:$A$1001,customers!$G$1:$G$1001,,0),IF(_xlpm.val=0,"",_xlpm.val))</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cm="1">
        <f t="array" ref="N461">_xlfn.SWITCH(I461,"rob","Robusta","exc","Excelsa","Ara","Arabica","Lib","Liberica","")</f>
        <v>Liberica</v>
      </c>
      <c r="O461" t="str" cm="1">
        <f t="array" ref="O461">_xlfn.SWITCH(J461,"M","Medium","D","Dark","L","Light")</f>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_xlfn.LET(_xlpm.val,_xlfn.XLOOKUP(C462,customers!$A$1:$A$1001,customers!$C$1:$C$1001,,0),IF(_xlpm.val=0,"",_xlpm.val))</f>
        <v>abilbrookcs@booking.com</v>
      </c>
      <c r="H462" s="2" t="str">
        <f>_xlfn.LET(_xlpm.val,_xlfn.XLOOKUP(C462,customers!$A$1:$A$1001,customers!$G$1:$G$1001,,0),IF(_xlpm.val=0,"",_xlpm.val))</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cm="1">
        <f t="array" ref="N462">_xlfn.SWITCH(I462,"rob","Robusta","exc","Excelsa","Ara","Arabica","Lib","Liberica","")</f>
        <v>Robusta</v>
      </c>
      <c r="O462" t="str" cm="1">
        <f t="array" ref="O462">_xlfn.SWITCH(J462,"M","Medium","D","Dark","L","Light")</f>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_xlfn.LET(_xlpm.val,_xlfn.XLOOKUP(C463,customers!$A$1:$A$1001,customers!$C$1:$C$1001,,0),IF(_xlpm.val=0,"",_xlpm.val))</f>
        <v>rmckallct@sakura.ne.jp</v>
      </c>
      <c r="H463" s="2" t="str">
        <f>_xlfn.LET(_xlpm.val,_xlfn.XLOOKUP(C463,customers!$A$1:$A$1001,customers!$G$1:$G$1001,,0),IF(_xlpm.val=0,"",_xlpm.val))</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cm="1">
        <f t="array" ref="N463">_xlfn.SWITCH(I463,"rob","Robusta","exc","Excelsa","Ara","Arabica","Lib","Liberica","")</f>
        <v>Robusta</v>
      </c>
      <c r="O463" t="str" cm="1">
        <f t="array" ref="O463">_xlfn.SWITCH(J463,"M","Medium","D","Dark","L","Light")</f>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_xlfn.LET(_xlpm.val,_xlfn.XLOOKUP(C464,customers!$A$1:$A$1001,customers!$C$1:$C$1001,,0),IF(_xlpm.val=0,"",_xlpm.val))</f>
        <v>bdailecu@vistaprint.com</v>
      </c>
      <c r="H464" s="2" t="str">
        <f>_xlfn.LET(_xlpm.val,_xlfn.XLOOKUP(C464,customers!$A$1:$A$1001,customers!$G$1:$G$1001,,0),IF(_xlpm.val=0,"",_xlpm.val))</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cm="1">
        <f t="array" ref="N464">_xlfn.SWITCH(I464,"rob","Robusta","exc","Excelsa","Ara","Arabica","Lib","Liberica","")</f>
        <v>Arabica</v>
      </c>
      <c r="O464" t="str" cm="1">
        <f t="array" ref="O464">_xlfn.SWITCH(J464,"M","Medium","D","Dark","L","Light")</f>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_xlfn.LET(_xlpm.val,_xlfn.XLOOKUP(C465,customers!$A$1:$A$1001,customers!$C$1:$C$1001,,0),IF(_xlpm.val=0,"",_xlpm.val))</f>
        <v>atrehernecv@state.tx.us</v>
      </c>
      <c r="H465" s="2" t="str">
        <f>_xlfn.LET(_xlpm.val,_xlfn.XLOOKUP(C465,customers!$A$1:$A$1001,customers!$G$1:$G$1001,,0),IF(_xlpm.val=0,"",_xlpm.val))</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cm="1">
        <f t="array" ref="N465">_xlfn.SWITCH(I465,"rob","Robusta","exc","Excelsa","Ara","Arabica","Lib","Liberica","")</f>
        <v>Excelsa</v>
      </c>
      <c r="O465" t="str" cm="1">
        <f t="array" ref="O465">_xlfn.SWITCH(J465,"M","Medium","D","Dark","L","Light")</f>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_xlfn.LET(_xlpm.val,_xlfn.XLOOKUP(C466,customers!$A$1:$A$1001,customers!$C$1:$C$1001,,0),IF(_xlpm.val=0,"",_xlpm.val))</f>
        <v>abrentnallcw@biglobe.ne.jp</v>
      </c>
      <c r="H466" s="2" t="str">
        <f>_xlfn.LET(_xlpm.val,_xlfn.XLOOKUP(C466,customers!$A$1:$A$1001,customers!$G$1:$G$1001,,0),IF(_xlpm.val=0,"",_xlpm.val))</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cm="1">
        <f t="array" ref="N466">_xlfn.SWITCH(I466,"rob","Robusta","exc","Excelsa","Ara","Arabica","Lib","Liberica","")</f>
        <v>Liberica</v>
      </c>
      <c r="O466" t="str" cm="1">
        <f t="array" ref="O466">_xlfn.SWITCH(J466,"M","Medium","D","Dark","L","Light")</f>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_xlfn.LET(_xlpm.val,_xlfn.XLOOKUP(C467,customers!$A$1:$A$1001,customers!$C$1:$C$1001,,0),IF(_xlpm.val=0,"",_xlpm.val))</f>
        <v>ddrinkallcx@psu.edu</v>
      </c>
      <c r="H467" s="2" t="str">
        <f>_xlfn.LET(_xlpm.val,_xlfn.XLOOKUP(C467,customers!$A$1:$A$1001,customers!$G$1:$G$1001,,0),IF(_xlpm.val=0,"",_xlpm.val))</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cm="1">
        <f t="array" ref="N467">_xlfn.SWITCH(I467,"rob","Robusta","exc","Excelsa","Ara","Arabica","Lib","Liberica","")</f>
        <v>Robusta</v>
      </c>
      <c r="O467" t="str" cm="1">
        <f t="array" ref="O467">_xlfn.SWITCH(J467,"M","Medium","D","Dark","L","Light")</f>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_xlfn.LET(_xlpm.val,_xlfn.XLOOKUP(C468,customers!$A$1:$A$1001,customers!$C$1:$C$1001,,0),IF(_xlpm.val=0,"",_xlpm.val))</f>
        <v>dkornelcy@cyberchimps.com</v>
      </c>
      <c r="H468" s="2" t="str">
        <f>_xlfn.LET(_xlpm.val,_xlfn.XLOOKUP(C468,customers!$A$1:$A$1001,customers!$G$1:$G$1001,,0),IF(_xlpm.val=0,"",_xlpm.val))</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cm="1">
        <f t="array" ref="N468">_xlfn.SWITCH(I468,"rob","Robusta","exc","Excelsa","Ara","Arabica","Lib","Liberica","")</f>
        <v>Arabica</v>
      </c>
      <c r="O468" t="str" cm="1">
        <f t="array" ref="O468">_xlfn.SWITCH(J468,"M","Medium","D","Dark","L","Light")</f>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_xlfn.LET(_xlpm.val,_xlfn.XLOOKUP(C469,customers!$A$1:$A$1001,customers!$C$1:$C$1001,,0),IF(_xlpm.val=0,"",_xlpm.val))</f>
        <v>rlequeuxcz@newyorker.com</v>
      </c>
      <c r="H469" s="2" t="str">
        <f>_xlfn.LET(_xlpm.val,_xlfn.XLOOKUP(C469,customers!$A$1:$A$1001,customers!$G$1:$G$1001,,0),IF(_xlpm.val=0,"",_xlpm.val))</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cm="1">
        <f t="array" ref="N469">_xlfn.SWITCH(I469,"rob","Robusta","exc","Excelsa","Ara","Arabica","Lib","Liberica","")</f>
        <v>Arabica</v>
      </c>
      <c r="O469" t="str" cm="1">
        <f t="array" ref="O469">_xlfn.SWITCH(J469,"M","Medium","D","Dark","L","Light")</f>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_xlfn.LET(_xlpm.val,_xlfn.XLOOKUP(C470,customers!$A$1:$A$1001,customers!$C$1:$C$1001,,0),IF(_xlpm.val=0,"",_xlpm.val))</f>
        <v>jmccaulld0@parallels.com</v>
      </c>
      <c r="H470" s="2" t="str">
        <f>_xlfn.LET(_xlpm.val,_xlfn.XLOOKUP(C470,customers!$A$1:$A$1001,customers!$G$1:$G$1001,,0),IF(_xlpm.val=0,"",_xlpm.val))</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cm="1">
        <f t="array" ref="N470">_xlfn.SWITCH(I470,"rob","Robusta","exc","Excelsa","Ara","Arabica","Lib","Liberica","")</f>
        <v>Excelsa</v>
      </c>
      <c r="O470" t="str" cm="1">
        <f t="array" ref="O470">_xlfn.SWITCH(J470,"M","Medium","D","Dark","L","Light")</f>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_xlfn.LET(_xlpm.val,_xlfn.XLOOKUP(C471,customers!$A$1:$A$1001,customers!$C$1:$C$1001,,0),IF(_xlpm.val=0,"",_xlpm.val))</f>
        <v>abrashda@plala.or.jp</v>
      </c>
      <c r="H471" s="2" t="str">
        <f>_xlfn.LET(_xlpm.val,_xlfn.XLOOKUP(C471,customers!$A$1:$A$1001,customers!$G$1:$G$1001,,0),IF(_xlpm.val=0,"",_xlpm.val))</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cm="1">
        <f t="array" ref="N471">_xlfn.SWITCH(I471,"rob","Robusta","exc","Excelsa","Ara","Arabica","Lib","Liberica","")</f>
        <v>Excelsa</v>
      </c>
      <c r="O471" t="str" cm="1">
        <f t="array" ref="O471">_xlfn.SWITCH(J471,"M","Medium","D","Dark","L","Light")</f>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_xlfn.LET(_xlpm.val,_xlfn.XLOOKUP(C472,customers!$A$1:$A$1001,customers!$C$1:$C$1001,,0),IF(_xlpm.val=0,"",_xlpm.val))</f>
        <v>ahutchinsond2@imgur.com</v>
      </c>
      <c r="H472" s="2" t="str">
        <f>_xlfn.LET(_xlpm.val,_xlfn.XLOOKUP(C472,customers!$A$1:$A$1001,customers!$G$1:$G$1001,,0),IF(_xlpm.val=0,"",_xlpm.val))</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cm="1">
        <f t="array" ref="N472">_xlfn.SWITCH(I472,"rob","Robusta","exc","Excelsa","Ara","Arabica","Lib","Liberica","")</f>
        <v>Arabica</v>
      </c>
      <c r="O472" t="str" cm="1">
        <f t="array" ref="O472">_xlfn.SWITCH(J472,"M","Medium","D","Dark","L","Light")</f>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_xlfn.LET(_xlpm.val,_xlfn.XLOOKUP(C473,customers!$A$1:$A$1001,customers!$C$1:$C$1001,,0),IF(_xlpm.val=0,"",_xlpm.val))</f>
        <v/>
      </c>
      <c r="H473" s="2" t="str">
        <f>_xlfn.LET(_xlpm.val,_xlfn.XLOOKUP(C473,customers!$A$1:$A$1001,customers!$G$1:$G$1001,,0),IF(_xlpm.val=0,"",_xlpm.val))</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cm="1">
        <f t="array" ref="N473">_xlfn.SWITCH(I473,"rob","Robusta","exc","Excelsa","Ara","Arabica","Lib","Liberica","")</f>
        <v>Liberica</v>
      </c>
      <c r="O473" t="str" cm="1">
        <f t="array" ref="O473">_xlfn.SWITCH(J473,"M","Medium","D","Dark","L","Light")</f>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_xlfn.LET(_xlpm.val,_xlfn.XLOOKUP(C474,customers!$A$1:$A$1001,customers!$C$1:$C$1001,,0),IF(_xlpm.val=0,"",_xlpm.val))</f>
        <v>rdriversd4@hexun.com</v>
      </c>
      <c r="H474" s="2" t="str">
        <f>_xlfn.LET(_xlpm.val,_xlfn.XLOOKUP(C474,customers!$A$1:$A$1001,customers!$G$1:$G$1001,,0),IF(_xlpm.val=0,"",_xlpm.val))</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cm="1">
        <f t="array" ref="N474">_xlfn.SWITCH(I474,"rob","Robusta","exc","Excelsa","Ara","Arabica","Lib","Liberica","")</f>
        <v>Arabica</v>
      </c>
      <c r="O474" t="str" cm="1">
        <f t="array" ref="O474">_xlfn.SWITCH(J474,"M","Medium","D","Dark","L","Light")</f>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_xlfn.LET(_xlpm.val,_xlfn.XLOOKUP(C475,customers!$A$1:$A$1001,customers!$C$1:$C$1001,,0),IF(_xlpm.val=0,"",_xlpm.val))</f>
        <v>hzeald5@google.de</v>
      </c>
      <c r="H475" s="2" t="str">
        <f>_xlfn.LET(_xlpm.val,_xlfn.XLOOKUP(C475,customers!$A$1:$A$1001,customers!$G$1:$G$1001,,0),IF(_xlpm.val=0,"",_xlpm.val))</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cm="1">
        <f t="array" ref="N475">_xlfn.SWITCH(I475,"rob","Robusta","exc","Excelsa","Ara","Arabica","Lib","Liberica","")</f>
        <v>Arabica</v>
      </c>
      <c r="O475" t="str" cm="1">
        <f t="array" ref="O475">_xlfn.SWITCH(J475,"M","Medium","D","Dark","L","Light")</f>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_xlfn.LET(_xlpm.val,_xlfn.XLOOKUP(C476,customers!$A$1:$A$1001,customers!$C$1:$C$1001,,0),IF(_xlpm.val=0,"",_xlpm.val))</f>
        <v>gsmallcombed6@ucla.edu</v>
      </c>
      <c r="H476" s="2" t="str">
        <f>_xlfn.LET(_xlpm.val,_xlfn.XLOOKUP(C476,customers!$A$1:$A$1001,customers!$G$1:$G$1001,,0),IF(_xlpm.val=0,"",_xlpm.val))</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cm="1">
        <f t="array" ref="N476">_xlfn.SWITCH(I476,"rob","Robusta","exc","Excelsa","Ara","Arabica","Lib","Liberica","")</f>
        <v>Excelsa</v>
      </c>
      <c r="O476" t="str" cm="1">
        <f t="array" ref="O476">_xlfn.SWITCH(J476,"M","Medium","D","Dark","L","Light")</f>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_xlfn.LET(_xlpm.val,_xlfn.XLOOKUP(C477,customers!$A$1:$A$1001,customers!$C$1:$C$1001,,0),IF(_xlpm.val=0,"",_xlpm.val))</f>
        <v>ddibleyd7@feedburner.com</v>
      </c>
      <c r="H477" s="2" t="str">
        <f>_xlfn.LET(_xlpm.val,_xlfn.XLOOKUP(C477,customers!$A$1:$A$1001,customers!$G$1:$G$1001,,0),IF(_xlpm.val=0,"",_xlpm.val))</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cm="1">
        <f t="array" ref="N477">_xlfn.SWITCH(I477,"rob","Robusta","exc","Excelsa","Ara","Arabica","Lib","Liberica","")</f>
        <v>Liberica</v>
      </c>
      <c r="O477" t="str" cm="1">
        <f t="array" ref="O477">_xlfn.SWITCH(J477,"M","Medium","D","Dark","L","Light")</f>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_xlfn.LET(_xlpm.val,_xlfn.XLOOKUP(C478,customers!$A$1:$A$1001,customers!$C$1:$C$1001,,0),IF(_xlpm.val=0,"",_xlpm.val))</f>
        <v>gdimitrioud8@chronoengine.com</v>
      </c>
      <c r="H478" s="2" t="str">
        <f>_xlfn.LET(_xlpm.val,_xlfn.XLOOKUP(C478,customers!$A$1:$A$1001,customers!$G$1:$G$1001,,0),IF(_xlpm.val=0,"",_xlpm.val))</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cm="1">
        <f t="array" ref="N478">_xlfn.SWITCH(I478,"rob","Robusta","exc","Excelsa","Ara","Arabica","Lib","Liberica","")</f>
        <v>Excelsa</v>
      </c>
      <c r="O478" t="str" cm="1">
        <f t="array" ref="O478">_xlfn.SWITCH(J478,"M","Medium","D","Dark","L","Light")</f>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_xlfn.LET(_xlpm.val,_xlfn.XLOOKUP(C479,customers!$A$1:$A$1001,customers!$C$1:$C$1001,,0),IF(_xlpm.val=0,"",_xlpm.val))</f>
        <v>fflanagand9@woothemes.com</v>
      </c>
      <c r="H479" s="2" t="str">
        <f>_xlfn.LET(_xlpm.val,_xlfn.XLOOKUP(C479,customers!$A$1:$A$1001,customers!$G$1:$G$1001,,0),IF(_xlpm.val=0,"",_xlpm.val))</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cm="1">
        <f t="array" ref="N479">_xlfn.SWITCH(I479,"rob","Robusta","exc","Excelsa","Ara","Arabica","Lib","Liberica","")</f>
        <v>Liberica</v>
      </c>
      <c r="O479" t="str" cm="1">
        <f t="array" ref="O479">_xlfn.SWITCH(J479,"M","Medium","D","Dark","L","Light")</f>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_xlfn.LET(_xlpm.val,_xlfn.XLOOKUP(C480,customers!$A$1:$A$1001,customers!$C$1:$C$1001,,0),IF(_xlpm.val=0,"",_xlpm.val))</f>
        <v>abrashda@plala.or.jp</v>
      </c>
      <c r="H480" s="2" t="str">
        <f>_xlfn.LET(_xlpm.val,_xlfn.XLOOKUP(C480,customers!$A$1:$A$1001,customers!$G$1:$G$1001,,0),IF(_xlpm.val=0,"",_xlpm.val))</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cm="1">
        <f t="array" ref="N480">_xlfn.SWITCH(I480,"rob","Robusta","exc","Excelsa","Ara","Arabica","Lib","Liberica","")</f>
        <v>Robusta</v>
      </c>
      <c r="O480" t="str" cm="1">
        <f t="array" ref="O480">_xlfn.SWITCH(J480,"M","Medium","D","Dark","L","Light")</f>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_xlfn.LET(_xlpm.val,_xlfn.XLOOKUP(C481,customers!$A$1:$A$1001,customers!$C$1:$C$1001,,0),IF(_xlpm.val=0,"",_xlpm.val))</f>
        <v>abrashda@plala.or.jp</v>
      </c>
      <c r="H481" s="2" t="str">
        <f>_xlfn.LET(_xlpm.val,_xlfn.XLOOKUP(C481,customers!$A$1:$A$1001,customers!$G$1:$G$1001,,0),IF(_xlpm.val=0,"",_xlpm.val))</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cm="1">
        <f t="array" ref="N481">_xlfn.SWITCH(I481,"rob","Robusta","exc","Excelsa","Ara","Arabica","Lib","Liberica","")</f>
        <v>Excelsa</v>
      </c>
      <c r="O481" t="str" cm="1">
        <f t="array" ref="O481">_xlfn.SWITCH(J481,"M","Medium","D","Dark","L","Light")</f>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_xlfn.LET(_xlpm.val,_xlfn.XLOOKUP(C482,customers!$A$1:$A$1001,customers!$C$1:$C$1001,,0),IF(_xlpm.val=0,"",_xlpm.val))</f>
        <v>abrashda@plala.or.jp</v>
      </c>
      <c r="H482" s="2" t="str">
        <f>_xlfn.LET(_xlpm.val,_xlfn.XLOOKUP(C482,customers!$A$1:$A$1001,customers!$G$1:$G$1001,,0),IF(_xlpm.val=0,"",_xlpm.val))</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cm="1">
        <f t="array" ref="N482">_xlfn.SWITCH(I482,"rob","Robusta","exc","Excelsa","Ara","Arabica","Lib","Liberica","")</f>
        <v>Excelsa</v>
      </c>
      <c r="O482" t="str" cm="1">
        <f t="array" ref="O482">_xlfn.SWITCH(J482,"M","Medium","D","Dark","L","Light")</f>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_xlfn.LET(_xlpm.val,_xlfn.XLOOKUP(C483,customers!$A$1:$A$1001,customers!$C$1:$C$1001,,0),IF(_xlpm.val=0,"",_xlpm.val))</f>
        <v>nizhakovdd@aol.com</v>
      </c>
      <c r="H483" s="2" t="str">
        <f>_xlfn.LET(_xlpm.val,_xlfn.XLOOKUP(C483,customers!$A$1:$A$1001,customers!$G$1:$G$1001,,0),IF(_xlpm.val=0,"",_xlpm.val))</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cm="1">
        <f t="array" ref="N483">_xlfn.SWITCH(I483,"rob","Robusta","exc","Excelsa","Ara","Arabica","Lib","Liberica","")</f>
        <v>Robusta</v>
      </c>
      <c r="O483" t="str" cm="1">
        <f t="array" ref="O483">_xlfn.SWITCH(J483,"M","Medium","D","Dark","L","Light")</f>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_xlfn.LET(_xlpm.val,_xlfn.XLOOKUP(C484,customers!$A$1:$A$1001,customers!$C$1:$C$1001,,0),IF(_xlpm.val=0,"",_xlpm.val))</f>
        <v>skeetsde@answers.com</v>
      </c>
      <c r="H484" s="2" t="str">
        <f>_xlfn.LET(_xlpm.val,_xlfn.XLOOKUP(C484,customers!$A$1:$A$1001,customers!$G$1:$G$1001,,0),IF(_xlpm.val=0,"",_xlpm.val))</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cm="1">
        <f t="array" ref="N484">_xlfn.SWITCH(I484,"rob","Robusta","exc","Excelsa","Ara","Arabica","Lib","Liberica","")</f>
        <v>Excelsa</v>
      </c>
      <c r="O484" t="str" cm="1">
        <f t="array" ref="O484">_xlfn.SWITCH(J484,"M","Medium","D","Dark","L","Light")</f>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_xlfn.LET(_xlpm.val,_xlfn.XLOOKUP(C485,customers!$A$1:$A$1001,customers!$C$1:$C$1001,,0),IF(_xlpm.val=0,"",_xlpm.val))</f>
        <v/>
      </c>
      <c r="H485" s="2" t="str">
        <f>_xlfn.LET(_xlpm.val,_xlfn.XLOOKUP(C485,customers!$A$1:$A$1001,customers!$G$1:$G$1001,,0),IF(_xlpm.val=0,"",_xlpm.val))</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cm="1">
        <f t="array" ref="N485">_xlfn.SWITCH(I485,"rob","Robusta","exc","Excelsa","Ara","Arabica","Lib","Liberica","")</f>
        <v>Liberica</v>
      </c>
      <c r="O485" t="str" cm="1">
        <f t="array" ref="O485">_xlfn.SWITCH(J485,"M","Medium","D","Dark","L","Light")</f>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_xlfn.LET(_xlpm.val,_xlfn.XLOOKUP(C486,customers!$A$1:$A$1001,customers!$C$1:$C$1001,,0),IF(_xlpm.val=0,"",_xlpm.val))</f>
        <v>kcakedg@huffingtonpost.com</v>
      </c>
      <c r="H486" s="2" t="str">
        <f>_xlfn.LET(_xlpm.val,_xlfn.XLOOKUP(C486,customers!$A$1:$A$1001,customers!$G$1:$G$1001,,0),IF(_xlpm.val=0,"",_xlpm.val))</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cm="1">
        <f t="array" ref="N486">_xlfn.SWITCH(I486,"rob","Robusta","exc","Excelsa","Ara","Arabica","Lib","Liberica","")</f>
        <v>Liberica</v>
      </c>
      <c r="O486" t="str" cm="1">
        <f t="array" ref="O486">_xlfn.SWITCH(J486,"M","Medium","D","Dark","L","Light")</f>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_xlfn.LET(_xlpm.val,_xlfn.XLOOKUP(C487,customers!$A$1:$A$1001,customers!$C$1:$C$1001,,0),IF(_xlpm.val=0,"",_xlpm.val))</f>
        <v>mhanseddh@instagram.com</v>
      </c>
      <c r="H487" s="2" t="str">
        <f>_xlfn.LET(_xlpm.val,_xlfn.XLOOKUP(C487,customers!$A$1:$A$1001,customers!$G$1:$G$1001,,0),IF(_xlpm.val=0,"",_xlpm.val))</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cm="1">
        <f t="array" ref="N487">_xlfn.SWITCH(I487,"rob","Robusta","exc","Excelsa","Ara","Arabica","Lib","Liberica","")</f>
        <v>Robusta</v>
      </c>
      <c r="O487" t="str" cm="1">
        <f t="array" ref="O487">_xlfn.SWITCH(J487,"M","Medium","D","Dark","L","Light")</f>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_xlfn.LET(_xlpm.val,_xlfn.XLOOKUP(C488,customers!$A$1:$A$1001,customers!$C$1:$C$1001,,0),IF(_xlpm.val=0,"",_xlpm.val))</f>
        <v>fkienleindi@trellian.com</v>
      </c>
      <c r="H488" s="2" t="str">
        <f>_xlfn.LET(_xlpm.val,_xlfn.XLOOKUP(C488,customers!$A$1:$A$1001,customers!$G$1:$G$1001,,0),IF(_xlpm.val=0,"",_xlpm.val))</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cm="1">
        <f t="array" ref="N488">_xlfn.SWITCH(I488,"rob","Robusta","exc","Excelsa","Ara","Arabica","Lib","Liberica","")</f>
        <v>Liberica</v>
      </c>
      <c r="O488" t="str" cm="1">
        <f t="array" ref="O488">_xlfn.SWITCH(J488,"M","Medium","D","Dark","L","Light")</f>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_xlfn.LET(_xlpm.val,_xlfn.XLOOKUP(C489,customers!$A$1:$A$1001,customers!$C$1:$C$1001,,0),IF(_xlpm.val=0,"",_xlpm.val))</f>
        <v>kegglestonedj@sphinn.com</v>
      </c>
      <c r="H489" s="2" t="str">
        <f>_xlfn.LET(_xlpm.val,_xlfn.XLOOKUP(C489,customers!$A$1:$A$1001,customers!$G$1:$G$1001,,0),IF(_xlpm.val=0,"",_xlpm.val))</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cm="1">
        <f t="array" ref="N489">_xlfn.SWITCH(I489,"rob","Robusta","exc","Excelsa","Ara","Arabica","Lib","Liberica","")</f>
        <v>Excelsa</v>
      </c>
      <c r="O489" t="str" cm="1">
        <f t="array" ref="O489">_xlfn.SWITCH(J489,"M","Medium","D","Dark","L","Light")</f>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_xlfn.LET(_xlpm.val,_xlfn.XLOOKUP(C490,customers!$A$1:$A$1001,customers!$C$1:$C$1001,,0),IF(_xlpm.val=0,"",_xlpm.val))</f>
        <v>bsemkinsdk@unc.edu</v>
      </c>
      <c r="H490" s="2" t="str">
        <f>_xlfn.LET(_xlpm.val,_xlfn.XLOOKUP(C490,customers!$A$1:$A$1001,customers!$G$1:$G$1001,,0),IF(_xlpm.val=0,"",_xlpm.val))</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cm="1">
        <f t="array" ref="N490">_xlfn.SWITCH(I490,"rob","Robusta","exc","Excelsa","Ara","Arabica","Lib","Liberica","")</f>
        <v>Robusta</v>
      </c>
      <c r="O490" t="str" cm="1">
        <f t="array" ref="O490">_xlfn.SWITCH(J490,"M","Medium","D","Dark","L","Light")</f>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_xlfn.LET(_xlpm.val,_xlfn.XLOOKUP(C491,customers!$A$1:$A$1001,customers!$C$1:$C$1001,,0),IF(_xlpm.val=0,"",_xlpm.val))</f>
        <v>slorenzettidl@is.gd</v>
      </c>
      <c r="H491" s="2" t="str">
        <f>_xlfn.LET(_xlpm.val,_xlfn.XLOOKUP(C491,customers!$A$1:$A$1001,customers!$G$1:$G$1001,,0),IF(_xlpm.val=0,"",_xlpm.val))</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cm="1">
        <f t="array" ref="N491">_xlfn.SWITCH(I491,"rob","Robusta","exc","Excelsa","Ara","Arabica","Lib","Liberica","")</f>
        <v>Liberica</v>
      </c>
      <c r="O491" t="str" cm="1">
        <f t="array" ref="O491">_xlfn.SWITCH(J491,"M","Medium","D","Dark","L","Light")</f>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_xlfn.LET(_xlpm.val,_xlfn.XLOOKUP(C492,customers!$A$1:$A$1001,customers!$C$1:$C$1001,,0),IF(_xlpm.val=0,"",_xlpm.val))</f>
        <v>bgiannazzidm@apple.com</v>
      </c>
      <c r="H492" s="2" t="str">
        <f>_xlfn.LET(_xlpm.val,_xlfn.XLOOKUP(C492,customers!$A$1:$A$1001,customers!$G$1:$G$1001,,0),IF(_xlpm.val=0,"",_xlpm.val))</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cm="1">
        <f t="array" ref="N492">_xlfn.SWITCH(I492,"rob","Robusta","exc","Excelsa","Ara","Arabica","Lib","Liberica","")</f>
        <v>Liberica</v>
      </c>
      <c r="O492" t="str" cm="1">
        <f t="array" ref="O492">_xlfn.SWITCH(J492,"M","Medium","D","Dark","L","Light")</f>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_xlfn.LET(_xlpm.val,_xlfn.XLOOKUP(C493,customers!$A$1:$A$1001,customers!$C$1:$C$1001,,0),IF(_xlpm.val=0,"",_xlpm.val))</f>
        <v/>
      </c>
      <c r="H493" s="2" t="str">
        <f>_xlfn.LET(_xlpm.val,_xlfn.XLOOKUP(C493,customers!$A$1:$A$1001,customers!$G$1:$G$1001,,0),IF(_xlpm.val=0,"",_xlpm.val))</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cm="1">
        <f t="array" ref="N493">_xlfn.SWITCH(I493,"rob","Robusta","exc","Excelsa","Ara","Arabica","Lib","Liberica","")</f>
        <v>Liberica</v>
      </c>
      <c r="O493" t="str" cm="1">
        <f t="array" ref="O493">_xlfn.SWITCH(J493,"M","Medium","D","Dark","L","Light")</f>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_xlfn.LET(_xlpm.val,_xlfn.XLOOKUP(C494,customers!$A$1:$A$1001,customers!$C$1:$C$1001,,0),IF(_xlpm.val=0,"",_xlpm.val))</f>
        <v>ulethbrigdo@hc360.com</v>
      </c>
      <c r="H494" s="2" t="str">
        <f>_xlfn.LET(_xlpm.val,_xlfn.XLOOKUP(C494,customers!$A$1:$A$1001,customers!$G$1:$G$1001,,0),IF(_xlpm.val=0,"",_xlpm.val))</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cm="1">
        <f t="array" ref="N494">_xlfn.SWITCH(I494,"rob","Robusta","exc","Excelsa","Ara","Arabica","Lib","Liberica","")</f>
        <v>Excelsa</v>
      </c>
      <c r="O494" t="str" cm="1">
        <f t="array" ref="O494">_xlfn.SWITCH(J494,"M","Medium","D","Dark","L","Light")</f>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_xlfn.LET(_xlpm.val,_xlfn.XLOOKUP(C495,customers!$A$1:$A$1001,customers!$C$1:$C$1001,,0),IF(_xlpm.val=0,"",_xlpm.val))</f>
        <v>sfarnishdp@dmoz.org</v>
      </c>
      <c r="H495" s="2" t="str">
        <f>_xlfn.LET(_xlpm.val,_xlfn.XLOOKUP(C495,customers!$A$1:$A$1001,customers!$G$1:$G$1001,,0),IF(_xlpm.val=0,"",_xlpm.val))</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cm="1">
        <f t="array" ref="N495">_xlfn.SWITCH(I495,"rob","Robusta","exc","Excelsa","Ara","Arabica","Lib","Liberica","")</f>
        <v>Robusta</v>
      </c>
      <c r="O495" t="str" cm="1">
        <f t="array" ref="O495">_xlfn.SWITCH(J495,"M","Medium","D","Dark","L","Light")</f>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_xlfn.LET(_xlpm.val,_xlfn.XLOOKUP(C496,customers!$A$1:$A$1001,customers!$C$1:$C$1001,,0),IF(_xlpm.val=0,"",_xlpm.val))</f>
        <v>fjecockdq@unicef.org</v>
      </c>
      <c r="H496" s="2" t="str">
        <f>_xlfn.LET(_xlpm.val,_xlfn.XLOOKUP(C496,customers!$A$1:$A$1001,customers!$G$1:$G$1001,,0),IF(_xlpm.val=0,"",_xlpm.val))</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cm="1">
        <f t="array" ref="N496">_xlfn.SWITCH(I496,"rob","Robusta","exc","Excelsa","Ara","Arabica","Lib","Liberica","")</f>
        <v>Liberica</v>
      </c>
      <c r="O496" t="str" cm="1">
        <f t="array" ref="O496">_xlfn.SWITCH(J496,"M","Medium","D","Dark","L","Light")</f>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_xlfn.LET(_xlpm.val,_xlfn.XLOOKUP(C497,customers!$A$1:$A$1001,customers!$C$1:$C$1001,,0),IF(_xlpm.val=0,"",_xlpm.val))</f>
        <v/>
      </c>
      <c r="H497" s="2" t="str">
        <f>_xlfn.LET(_xlpm.val,_xlfn.XLOOKUP(C497,customers!$A$1:$A$1001,customers!$G$1:$G$1001,,0),IF(_xlpm.val=0,"",_xlpm.val))</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cm="1">
        <f t="array" ref="N497">_xlfn.SWITCH(I497,"rob","Robusta","exc","Excelsa","Ara","Arabica","Lib","Liberica","")</f>
        <v>Liberica</v>
      </c>
      <c r="O497" t="str" cm="1">
        <f t="array" ref="O497">_xlfn.SWITCH(J497,"M","Medium","D","Dark","L","Light")</f>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_xlfn.LET(_xlpm.val,_xlfn.XLOOKUP(C498,customers!$A$1:$A$1001,customers!$C$1:$C$1001,,0),IF(_xlpm.val=0,"",_xlpm.val))</f>
        <v>hpallisterds@ning.com</v>
      </c>
      <c r="H498" s="2" t="str">
        <f>_xlfn.LET(_xlpm.val,_xlfn.XLOOKUP(C498,customers!$A$1:$A$1001,customers!$G$1:$G$1001,,0),IF(_xlpm.val=0,"",_xlpm.val))</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cm="1">
        <f t="array" ref="N498">_xlfn.SWITCH(I498,"rob","Robusta","exc","Excelsa","Ara","Arabica","Lib","Liberica","")</f>
        <v>Excelsa</v>
      </c>
      <c r="O498" t="str" cm="1">
        <f t="array" ref="O498">_xlfn.SWITCH(J498,"M","Medium","D","Dark","L","Light")</f>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_xlfn.LET(_xlpm.val,_xlfn.XLOOKUP(C499,customers!$A$1:$A$1001,customers!$C$1:$C$1001,,0),IF(_xlpm.val=0,"",_xlpm.val))</f>
        <v>cmershdt@drupal.org</v>
      </c>
      <c r="H499" s="2" t="str">
        <f>_xlfn.LET(_xlpm.val,_xlfn.XLOOKUP(C499,customers!$A$1:$A$1001,customers!$G$1:$G$1001,,0),IF(_xlpm.val=0,"",_xlpm.val))</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cm="1">
        <f t="array" ref="N499">_xlfn.SWITCH(I499,"rob","Robusta","exc","Excelsa","Ara","Arabica","Lib","Liberica","")</f>
        <v>Arabica</v>
      </c>
      <c r="O499" t="str" cm="1">
        <f t="array" ref="O499">_xlfn.SWITCH(J499,"M","Medium","D","Dark","L","Light")</f>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_xlfn.LET(_xlpm.val,_xlfn.XLOOKUP(C500,customers!$A$1:$A$1001,customers!$C$1:$C$1001,,0),IF(_xlpm.val=0,"",_xlpm.val))</f>
        <v>murione5@alexa.com</v>
      </c>
      <c r="H500" s="2" t="str">
        <f>_xlfn.LET(_xlpm.val,_xlfn.XLOOKUP(C500,customers!$A$1:$A$1001,customers!$G$1:$G$1001,,0),IF(_xlpm.val=0,"",_xlpm.val))</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cm="1">
        <f t="array" ref="N500">_xlfn.SWITCH(I500,"rob","Robusta","exc","Excelsa","Ara","Arabica","Lib","Liberica","")</f>
        <v>Robusta</v>
      </c>
      <c r="O500" t="str" cm="1">
        <f t="array" ref="O500">_xlfn.SWITCH(J500,"M","Medium","D","Dark","L","Light")</f>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_xlfn.LET(_xlpm.val,_xlfn.XLOOKUP(C501,customers!$A$1:$A$1001,customers!$C$1:$C$1001,,0),IF(_xlpm.val=0,"",_xlpm.val))</f>
        <v/>
      </c>
      <c r="H501" s="2" t="str">
        <f>_xlfn.LET(_xlpm.val,_xlfn.XLOOKUP(C501,customers!$A$1:$A$1001,customers!$G$1:$G$1001,,0),IF(_xlpm.val=0,"",_xlpm.val))</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cm="1">
        <f t="array" ref="N501">_xlfn.SWITCH(I501,"rob","Robusta","exc","Excelsa","Ara","Arabica","Lib","Liberica","")</f>
        <v>Robusta</v>
      </c>
      <c r="O501" t="str" cm="1">
        <f t="array" ref="O501">_xlfn.SWITCH(J501,"M","Medium","D","Dark","L","Light")</f>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_xlfn.LET(_xlpm.val,_xlfn.XLOOKUP(C502,customers!$A$1:$A$1001,customers!$C$1:$C$1001,,0),IF(_xlpm.val=0,"",_xlpm.val))</f>
        <v/>
      </c>
      <c r="H502" s="2" t="str">
        <f>_xlfn.LET(_xlpm.val,_xlfn.XLOOKUP(C502,customers!$A$1:$A$1001,customers!$G$1:$G$1001,,0),IF(_xlpm.val=0,"",_xlpm.val))</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cm="1">
        <f t="array" ref="N502">_xlfn.SWITCH(I502,"rob","Robusta","exc","Excelsa","Ara","Arabica","Lib","Liberica","")</f>
        <v>Robusta</v>
      </c>
      <c r="O502" t="str" cm="1">
        <f t="array" ref="O502">_xlfn.SWITCH(J502,"M","Medium","D","Dark","L","Light")</f>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_xlfn.LET(_xlpm.val,_xlfn.XLOOKUP(C503,customers!$A$1:$A$1001,customers!$C$1:$C$1001,,0),IF(_xlpm.val=0,"",_xlpm.val))</f>
        <v>gduckerdx@patch.com</v>
      </c>
      <c r="H503" s="2" t="str">
        <f>_xlfn.LET(_xlpm.val,_xlfn.XLOOKUP(C503,customers!$A$1:$A$1001,customers!$G$1:$G$1001,,0),IF(_xlpm.val=0,"",_xlpm.val))</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cm="1">
        <f t="array" ref="N503">_xlfn.SWITCH(I503,"rob","Robusta","exc","Excelsa","Ara","Arabica","Lib","Liberica","")</f>
        <v>Robusta</v>
      </c>
      <c r="O503" t="str" cm="1">
        <f t="array" ref="O503">_xlfn.SWITCH(J503,"M","Medium","D","Dark","L","Light")</f>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_xlfn.LET(_xlpm.val,_xlfn.XLOOKUP(C504,customers!$A$1:$A$1001,customers!$C$1:$C$1001,,0),IF(_xlpm.val=0,"",_xlpm.val))</f>
        <v>gduckerdx@patch.com</v>
      </c>
      <c r="H504" s="2" t="str">
        <f>_xlfn.LET(_xlpm.val,_xlfn.XLOOKUP(C504,customers!$A$1:$A$1001,customers!$G$1:$G$1001,,0),IF(_xlpm.val=0,"",_xlpm.val))</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cm="1">
        <f t="array" ref="N504">_xlfn.SWITCH(I504,"rob","Robusta","exc","Excelsa","Ara","Arabica","Lib","Liberica","")</f>
        <v>Excelsa</v>
      </c>
      <c r="O504" t="str" cm="1">
        <f t="array" ref="O504">_xlfn.SWITCH(J504,"M","Medium","D","Dark","L","Light")</f>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_xlfn.LET(_xlpm.val,_xlfn.XLOOKUP(C505,customers!$A$1:$A$1001,customers!$C$1:$C$1001,,0),IF(_xlpm.val=0,"",_xlpm.val))</f>
        <v>gduckerdx@patch.com</v>
      </c>
      <c r="H505" s="2" t="str">
        <f>_xlfn.LET(_xlpm.val,_xlfn.XLOOKUP(C505,customers!$A$1:$A$1001,customers!$G$1:$G$1001,,0),IF(_xlpm.val=0,"",_xlpm.val))</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cm="1">
        <f t="array" ref="N505">_xlfn.SWITCH(I505,"rob","Robusta","exc","Excelsa","Ara","Arabica","Lib","Liberica","")</f>
        <v>Liberica</v>
      </c>
      <c r="O505" t="str" cm="1">
        <f t="array" ref="O505">_xlfn.SWITCH(J505,"M","Medium","D","Dark","L","Light")</f>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_xlfn.LET(_xlpm.val,_xlfn.XLOOKUP(C506,customers!$A$1:$A$1001,customers!$C$1:$C$1001,,0),IF(_xlpm.val=0,"",_xlpm.val))</f>
        <v>gduckerdx@patch.com</v>
      </c>
      <c r="H506" s="2" t="str">
        <f>_xlfn.LET(_xlpm.val,_xlfn.XLOOKUP(C506,customers!$A$1:$A$1001,customers!$G$1:$G$1001,,0),IF(_xlpm.val=0,"",_xlpm.val))</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cm="1">
        <f t="array" ref="N506">_xlfn.SWITCH(I506,"rob","Robusta","exc","Excelsa","Ara","Arabica","Lib","Liberica","")</f>
        <v>Liberica</v>
      </c>
      <c r="O506" t="str" cm="1">
        <f t="array" ref="O506">_xlfn.SWITCH(J506,"M","Medium","D","Dark","L","Light")</f>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_xlfn.LET(_xlpm.val,_xlfn.XLOOKUP(C507,customers!$A$1:$A$1001,customers!$C$1:$C$1001,,0),IF(_xlpm.val=0,"",_xlpm.val))</f>
        <v>wstearleye1@census.gov</v>
      </c>
      <c r="H507" s="2" t="str">
        <f>_xlfn.LET(_xlpm.val,_xlfn.XLOOKUP(C507,customers!$A$1:$A$1001,customers!$G$1:$G$1001,,0),IF(_xlpm.val=0,"",_xlpm.val))</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cm="1">
        <f t="array" ref="N507">_xlfn.SWITCH(I507,"rob","Robusta","exc","Excelsa","Ara","Arabica","Lib","Liberica","")</f>
        <v>Liberica</v>
      </c>
      <c r="O507" t="str" cm="1">
        <f t="array" ref="O507">_xlfn.SWITCH(J507,"M","Medium","D","Dark","L","Light")</f>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_xlfn.LET(_xlpm.val,_xlfn.XLOOKUP(C508,customers!$A$1:$A$1001,customers!$C$1:$C$1001,,0),IF(_xlpm.val=0,"",_xlpm.val))</f>
        <v>dwincere2@marriott.com</v>
      </c>
      <c r="H508" s="2" t="str">
        <f>_xlfn.LET(_xlpm.val,_xlfn.XLOOKUP(C508,customers!$A$1:$A$1001,customers!$G$1:$G$1001,,0),IF(_xlpm.val=0,"",_xlpm.val))</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cm="1">
        <f t="array" ref="N508">_xlfn.SWITCH(I508,"rob","Robusta","exc","Excelsa","Ara","Arabica","Lib","Liberica","")</f>
        <v>Arabica</v>
      </c>
      <c r="O508" t="str" cm="1">
        <f t="array" ref="O508">_xlfn.SWITCH(J508,"M","Medium","D","Dark","L","Light")</f>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_xlfn.LET(_xlpm.val,_xlfn.XLOOKUP(C509,customers!$A$1:$A$1001,customers!$C$1:$C$1001,,0),IF(_xlpm.val=0,"",_xlpm.val))</f>
        <v>plyfielde3@baidu.com</v>
      </c>
      <c r="H509" s="2" t="str">
        <f>_xlfn.LET(_xlpm.val,_xlfn.XLOOKUP(C509,customers!$A$1:$A$1001,customers!$G$1:$G$1001,,0),IF(_xlpm.val=0,"",_xlpm.val))</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cm="1">
        <f t="array" ref="N509">_xlfn.SWITCH(I509,"rob","Robusta","exc","Excelsa","Ara","Arabica","Lib","Liberica","")</f>
        <v>Arabica</v>
      </c>
      <c r="O509" t="str" cm="1">
        <f t="array" ref="O509">_xlfn.SWITCH(J509,"M","Medium","D","Dark","L","Light")</f>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_xlfn.LET(_xlpm.val,_xlfn.XLOOKUP(C510,customers!$A$1:$A$1001,customers!$C$1:$C$1001,,0),IF(_xlpm.val=0,"",_xlpm.val))</f>
        <v>hperrise4@studiopress.com</v>
      </c>
      <c r="H510" s="2" t="str">
        <f>_xlfn.LET(_xlpm.val,_xlfn.XLOOKUP(C510,customers!$A$1:$A$1001,customers!$G$1:$G$1001,,0),IF(_xlpm.val=0,"",_xlpm.val))</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cm="1">
        <f t="array" ref="N510">_xlfn.SWITCH(I510,"rob","Robusta","exc","Excelsa","Ara","Arabica","Lib","Liberica","")</f>
        <v>Liberica</v>
      </c>
      <c r="O510" t="str" cm="1">
        <f t="array" ref="O510">_xlfn.SWITCH(J510,"M","Medium","D","Dark","L","Light")</f>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_xlfn.LET(_xlpm.val,_xlfn.XLOOKUP(C511,customers!$A$1:$A$1001,customers!$C$1:$C$1001,,0),IF(_xlpm.val=0,"",_xlpm.val))</f>
        <v>murione5@alexa.com</v>
      </c>
      <c r="H511" s="2" t="str">
        <f>_xlfn.LET(_xlpm.val,_xlfn.XLOOKUP(C511,customers!$A$1:$A$1001,customers!$G$1:$G$1001,,0),IF(_xlpm.val=0,"",_xlpm.val))</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cm="1">
        <f t="array" ref="N511">_xlfn.SWITCH(I511,"rob","Robusta","exc","Excelsa","Ara","Arabica","Lib","Liberica","")</f>
        <v>Arabica</v>
      </c>
      <c r="O511" t="str" cm="1">
        <f t="array" ref="O511">_xlfn.SWITCH(J511,"M","Medium","D","Dark","L","Light")</f>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_xlfn.LET(_xlpm.val,_xlfn.XLOOKUP(C512,customers!$A$1:$A$1001,customers!$C$1:$C$1001,,0),IF(_xlpm.val=0,"",_xlpm.val))</f>
        <v>ckide6@narod.ru</v>
      </c>
      <c r="H512" s="2" t="str">
        <f>_xlfn.LET(_xlpm.val,_xlfn.XLOOKUP(C512,customers!$A$1:$A$1001,customers!$G$1:$G$1001,,0),IF(_xlpm.val=0,"",_xlpm.val))</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cm="1">
        <f t="array" ref="N512">_xlfn.SWITCH(I512,"rob","Robusta","exc","Excelsa","Ara","Arabica","Lib","Liberica","")</f>
        <v>Robusta</v>
      </c>
      <c r="O512" t="str" cm="1">
        <f t="array" ref="O512">_xlfn.SWITCH(J512,"M","Medium","D","Dark","L","Light")</f>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_xlfn.LET(_xlpm.val,_xlfn.XLOOKUP(C513,customers!$A$1:$A$1001,customers!$C$1:$C$1001,,0),IF(_xlpm.val=0,"",_xlpm.val))</f>
        <v>cbeinee7@xinhuanet.com</v>
      </c>
      <c r="H513" s="2" t="str">
        <f>_xlfn.LET(_xlpm.val,_xlfn.XLOOKUP(C513,customers!$A$1:$A$1001,customers!$G$1:$G$1001,,0),IF(_xlpm.val=0,"",_xlpm.val))</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cm="1">
        <f t="array" ref="N513">_xlfn.SWITCH(I513,"rob","Robusta","exc","Excelsa","Ara","Arabica","Lib","Liberica","")</f>
        <v>Arabica</v>
      </c>
      <c r="O513" t="str" cm="1">
        <f t="array" ref="O513">_xlfn.SWITCH(J513,"M","Medium","D","Dark","L","Light")</f>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_xlfn.LET(_xlpm.val,_xlfn.XLOOKUP(C514,customers!$A$1:$A$1001,customers!$C$1:$C$1001,,0),IF(_xlpm.val=0,"",_xlpm.val))</f>
        <v>cbakeupe8@globo.com</v>
      </c>
      <c r="H514" s="2" t="str">
        <f>_xlfn.LET(_xlpm.val,_xlfn.XLOOKUP(C514,customers!$A$1:$A$1001,customers!$G$1:$G$1001,,0),IF(_xlpm.val=0,"",_xlpm.val))</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cm="1">
        <f t="array" ref="N514">_xlfn.SWITCH(I514,"rob","Robusta","exc","Excelsa","Ara","Arabica","Lib","Liberica","")</f>
        <v>Liberica</v>
      </c>
      <c r="O514" t="str" cm="1">
        <f t="array" ref="O514">_xlfn.SWITCH(J514,"M","Medium","D","Dark","L","Light")</f>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_xlfn.LET(_xlpm.val,_xlfn.XLOOKUP(C515,customers!$A$1:$A$1001,customers!$C$1:$C$1001,,0),IF(_xlpm.val=0,"",_xlpm.val))</f>
        <v>nhelkine9@example.com</v>
      </c>
      <c r="H515" s="2" t="str">
        <f>_xlfn.LET(_xlpm.val,_xlfn.XLOOKUP(C515,customers!$A$1:$A$1001,customers!$G$1:$G$1001,,0),IF(_xlpm.val=0,"",_xlpm.val))</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L515*E515</f>
        <v>79.25</v>
      </c>
      <c r="N515" t="str" cm="1">
        <f t="array" ref="N515">_xlfn.SWITCH(I515,"rob","Robusta","exc","Excelsa","Ara","Arabica","Lib","Liberica","")</f>
        <v>Liberica</v>
      </c>
      <c r="O515" t="str" cm="1">
        <f t="array" ref="O515">_xlfn.SWITCH(J515,"M","Medium","D","Dark","L","Light")</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_xlfn.LET(_xlpm.val,_xlfn.XLOOKUP(C516,customers!$A$1:$A$1001,customers!$C$1:$C$1001,,0),IF(_xlpm.val=0,"",_xlpm.val))</f>
        <v>pwitheringtonea@networkadvertising.org</v>
      </c>
      <c r="H516" s="2" t="str">
        <f>_xlfn.LET(_xlpm.val,_xlfn.XLOOKUP(C516,customers!$A$1:$A$1001,customers!$G$1:$G$1001,,0),IF(_xlpm.val=0,"",_xlpm.val))</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cm="1">
        <f t="array" ref="N516">_xlfn.SWITCH(I516,"rob","Robusta","exc","Excelsa","Ara","Arabica","Lib","Liberica","")</f>
        <v>Liberica</v>
      </c>
      <c r="O516" t="str" cm="1">
        <f t="array" ref="O516">_xlfn.SWITCH(J516,"M","Medium","D","Dark","L","Light")</f>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_xlfn.LET(_xlpm.val,_xlfn.XLOOKUP(C517,customers!$A$1:$A$1001,customers!$C$1:$C$1001,,0),IF(_xlpm.val=0,"",_xlpm.val))</f>
        <v>ttilzeyeb@hostgator.com</v>
      </c>
      <c r="H517" s="2" t="str">
        <f>_xlfn.LET(_xlpm.val,_xlfn.XLOOKUP(C517,customers!$A$1:$A$1001,customers!$G$1:$G$1001,,0),IF(_xlpm.val=0,"",_xlpm.val))</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cm="1">
        <f t="array" ref="N517">_xlfn.SWITCH(I517,"rob","Robusta","exc","Excelsa","Ara","Arabica","Lib","Liberica","")</f>
        <v>Robusta</v>
      </c>
      <c r="O517" t="str" cm="1">
        <f t="array" ref="O517">_xlfn.SWITCH(J517,"M","Medium","D","Dark","L","Light")</f>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_xlfn.LET(_xlpm.val,_xlfn.XLOOKUP(C518,customers!$A$1:$A$1001,customers!$C$1:$C$1001,,0),IF(_xlpm.val=0,"",_xlpm.val))</f>
        <v/>
      </c>
      <c r="H518" s="2" t="str">
        <f>_xlfn.LET(_xlpm.val,_xlfn.XLOOKUP(C518,customers!$A$1:$A$1001,customers!$G$1:$G$1001,,0),IF(_xlpm.val=0,"",_xlpm.val))</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cm="1">
        <f t="array" ref="N518">_xlfn.SWITCH(I518,"rob","Robusta","exc","Excelsa","Ara","Arabica","Lib","Liberica","")</f>
        <v>Robusta</v>
      </c>
      <c r="O518" t="str" cm="1">
        <f t="array" ref="O518">_xlfn.SWITCH(J518,"M","Medium","D","Dark","L","Light")</f>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_xlfn.LET(_xlpm.val,_xlfn.XLOOKUP(C519,customers!$A$1:$A$1001,customers!$C$1:$C$1001,,0),IF(_xlpm.val=0,"",_xlpm.val))</f>
        <v/>
      </c>
      <c r="H519" s="2" t="str">
        <f>_xlfn.LET(_xlpm.val,_xlfn.XLOOKUP(C519,customers!$A$1:$A$1001,customers!$G$1:$G$1001,,0),IF(_xlpm.val=0,"",_xlpm.val))</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cm="1">
        <f t="array" ref="N519">_xlfn.SWITCH(I519,"rob","Robusta","exc","Excelsa","Ara","Arabica","Lib","Liberica","")</f>
        <v>Liberica</v>
      </c>
      <c r="O519" t="str" cm="1">
        <f t="array" ref="O519">_xlfn.SWITCH(J519,"M","Medium","D","Dark","L","Light")</f>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_xlfn.LET(_xlpm.val,_xlfn.XLOOKUP(C520,customers!$A$1:$A$1001,customers!$C$1:$C$1001,,0),IF(_xlpm.val=0,"",_xlpm.val))</f>
        <v>kimortsee@alexa.com</v>
      </c>
      <c r="H520" s="2" t="str">
        <f>_xlfn.LET(_xlpm.val,_xlfn.XLOOKUP(C520,customers!$A$1:$A$1001,customers!$G$1:$G$1001,,0),IF(_xlpm.val=0,"",_xlpm.val))</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cm="1">
        <f t="array" ref="N520">_xlfn.SWITCH(I520,"rob","Robusta","exc","Excelsa","Ara","Arabica","Lib","Liberica","")</f>
        <v>Excelsa</v>
      </c>
      <c r="O520" t="str" cm="1">
        <f t="array" ref="O520">_xlfn.SWITCH(J520,"M","Medium","D","Dark","L","Light")</f>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_xlfn.LET(_xlpm.val,_xlfn.XLOOKUP(C521,customers!$A$1:$A$1001,customers!$C$1:$C$1001,,0),IF(_xlpm.val=0,"",_xlpm.val))</f>
        <v>murione5@alexa.com</v>
      </c>
      <c r="H521" s="2" t="str">
        <f>_xlfn.LET(_xlpm.val,_xlfn.XLOOKUP(C521,customers!$A$1:$A$1001,customers!$G$1:$G$1001,,0),IF(_xlpm.val=0,"",_xlpm.val))</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cm="1">
        <f t="array" ref="N521">_xlfn.SWITCH(I521,"rob","Robusta","exc","Excelsa","Ara","Arabica","Lib","Liberica","")</f>
        <v>Arabica</v>
      </c>
      <c r="O521" t="str" cm="1">
        <f t="array" ref="O521">_xlfn.SWITCH(J521,"M","Medium","D","Dark","L","Light")</f>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_xlfn.LET(_xlpm.val,_xlfn.XLOOKUP(C522,customers!$A$1:$A$1001,customers!$C$1:$C$1001,,0),IF(_xlpm.val=0,"",_xlpm.val))</f>
        <v>marmisteadeg@blogtalkradio.com</v>
      </c>
      <c r="H522" s="2" t="str">
        <f>_xlfn.LET(_xlpm.val,_xlfn.XLOOKUP(C522,customers!$A$1:$A$1001,customers!$G$1:$G$1001,,0),IF(_xlpm.val=0,"",_xlpm.val))</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cm="1">
        <f t="array" ref="N522">_xlfn.SWITCH(I522,"rob","Robusta","exc","Excelsa","Ara","Arabica","Lib","Liberica","")</f>
        <v>Liberica</v>
      </c>
      <c r="O522" t="str" cm="1">
        <f t="array" ref="O522">_xlfn.SWITCH(J522,"M","Medium","D","Dark","L","Light")</f>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_xlfn.LET(_xlpm.val,_xlfn.XLOOKUP(C523,customers!$A$1:$A$1001,customers!$C$1:$C$1001,,0),IF(_xlpm.val=0,"",_xlpm.val))</f>
        <v>marmisteadeg@blogtalkradio.com</v>
      </c>
      <c r="H523" s="2" t="str">
        <f>_xlfn.LET(_xlpm.val,_xlfn.XLOOKUP(C523,customers!$A$1:$A$1001,customers!$G$1:$G$1001,,0),IF(_xlpm.val=0,"",_xlpm.val))</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cm="1">
        <f t="array" ref="N523">_xlfn.SWITCH(I523,"rob","Robusta","exc","Excelsa","Ara","Arabica","Lib","Liberica","")</f>
        <v>Robusta</v>
      </c>
      <c r="O523" t="str" cm="1">
        <f t="array" ref="O523">_xlfn.SWITCH(J523,"M","Medium","D","Dark","L","Light")</f>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_xlfn.LET(_xlpm.val,_xlfn.XLOOKUP(C524,customers!$A$1:$A$1001,customers!$C$1:$C$1001,,0),IF(_xlpm.val=0,"",_xlpm.val))</f>
        <v>vupstoneei@google.pl</v>
      </c>
      <c r="H524" s="2" t="str">
        <f>_xlfn.LET(_xlpm.val,_xlfn.XLOOKUP(C524,customers!$A$1:$A$1001,customers!$G$1:$G$1001,,0),IF(_xlpm.val=0,"",_xlpm.val))</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cm="1">
        <f t="array" ref="N524">_xlfn.SWITCH(I524,"rob","Robusta","exc","Excelsa","Ara","Arabica","Lib","Liberica","")</f>
        <v>Robusta</v>
      </c>
      <c r="O524" t="str" cm="1">
        <f t="array" ref="O524">_xlfn.SWITCH(J524,"M","Medium","D","Dark","L","Light")</f>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_xlfn.LET(_xlpm.val,_xlfn.XLOOKUP(C525,customers!$A$1:$A$1001,customers!$C$1:$C$1001,,0),IF(_xlpm.val=0,"",_xlpm.val))</f>
        <v>bbeelbyej@rediff.com</v>
      </c>
      <c r="H525" s="2" t="str">
        <f>_xlfn.LET(_xlpm.val,_xlfn.XLOOKUP(C525,customers!$A$1:$A$1001,customers!$G$1:$G$1001,,0),IF(_xlpm.val=0,"",_xlpm.val))</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cm="1">
        <f t="array" ref="N525">_xlfn.SWITCH(I525,"rob","Robusta","exc","Excelsa","Ara","Arabica","Lib","Liberica","")</f>
        <v>Liberica</v>
      </c>
      <c r="O525" t="str" cm="1">
        <f t="array" ref="O525">_xlfn.SWITCH(J525,"M","Medium","D","Dark","L","Light")</f>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_xlfn.LET(_xlpm.val,_xlfn.XLOOKUP(C526,customers!$A$1:$A$1001,customers!$C$1:$C$1001,,0),IF(_xlpm.val=0,"",_xlpm.val))</f>
        <v/>
      </c>
      <c r="H526" s="2" t="str">
        <f>_xlfn.LET(_xlpm.val,_xlfn.XLOOKUP(C526,customers!$A$1:$A$1001,customers!$G$1:$G$1001,,0),IF(_xlpm.val=0,"",_xlpm.val))</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cm="1">
        <f t="array" ref="N526">_xlfn.SWITCH(I526,"rob","Robusta","exc","Excelsa","Ara","Arabica","Lib","Liberica","")</f>
        <v>Liberica</v>
      </c>
      <c r="O526" t="str" cm="1">
        <f t="array" ref="O526">_xlfn.SWITCH(J526,"M","Medium","D","Dark","L","Light")</f>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_xlfn.LET(_xlpm.val,_xlfn.XLOOKUP(C527,customers!$A$1:$A$1001,customers!$C$1:$C$1001,,0),IF(_xlpm.val=0,"",_xlpm.val))</f>
        <v/>
      </c>
      <c r="H527" s="2" t="str">
        <f>_xlfn.LET(_xlpm.val,_xlfn.XLOOKUP(C527,customers!$A$1:$A$1001,customers!$G$1:$G$1001,,0),IF(_xlpm.val=0,"",_xlpm.val))</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cm="1">
        <f t="array" ref="N527">_xlfn.SWITCH(I527,"rob","Robusta","exc","Excelsa","Ara","Arabica","Lib","Liberica","")</f>
        <v>Robusta</v>
      </c>
      <c r="O527" t="str" cm="1">
        <f t="array" ref="O527">_xlfn.SWITCH(J527,"M","Medium","D","Dark","L","Light")</f>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_xlfn.LET(_xlpm.val,_xlfn.XLOOKUP(C528,customers!$A$1:$A$1001,customers!$C$1:$C$1001,,0),IF(_xlpm.val=0,"",_xlpm.val))</f>
        <v>wspeechlyem@amazon.com</v>
      </c>
      <c r="H528" s="2" t="str">
        <f>_xlfn.LET(_xlpm.val,_xlfn.XLOOKUP(C528,customers!$A$1:$A$1001,customers!$G$1:$G$1001,,0),IF(_xlpm.val=0,"",_xlpm.val))</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cm="1">
        <f t="array" ref="N528">_xlfn.SWITCH(I528,"rob","Robusta","exc","Excelsa","Ara","Arabica","Lib","Liberica","")</f>
        <v>Excelsa</v>
      </c>
      <c r="O528" t="str" cm="1">
        <f t="array" ref="O528">_xlfn.SWITCH(J528,"M","Medium","D","Dark","L","Light")</f>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_xlfn.LET(_xlpm.val,_xlfn.XLOOKUP(C529,customers!$A$1:$A$1001,customers!$C$1:$C$1001,,0),IF(_xlpm.val=0,"",_xlpm.val))</f>
        <v>iphillpoten@buzzfeed.com</v>
      </c>
      <c r="H529" s="2" t="str">
        <f>_xlfn.LET(_xlpm.val,_xlfn.XLOOKUP(C529,customers!$A$1:$A$1001,customers!$G$1:$G$1001,,0),IF(_xlpm.val=0,"",_xlpm.val))</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cm="1">
        <f t="array" ref="N529">_xlfn.SWITCH(I529,"rob","Robusta","exc","Excelsa","Ara","Arabica","Lib","Liberica","")</f>
        <v>Excelsa</v>
      </c>
      <c r="O529" t="str" cm="1">
        <f t="array" ref="O529">_xlfn.SWITCH(J529,"M","Medium","D","Dark","L","Light")</f>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_xlfn.LET(_xlpm.val,_xlfn.XLOOKUP(C530,customers!$A$1:$A$1001,customers!$C$1:$C$1001,,0),IF(_xlpm.val=0,"",_xlpm.val))</f>
        <v>lpennaccieo@statcounter.com</v>
      </c>
      <c r="H530" s="2" t="str">
        <f>_xlfn.LET(_xlpm.val,_xlfn.XLOOKUP(C530,customers!$A$1:$A$1001,customers!$G$1:$G$1001,,0),IF(_xlpm.val=0,"",_xlpm.val))</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cm="1">
        <f t="array" ref="N530">_xlfn.SWITCH(I530,"rob","Robusta","exc","Excelsa","Ara","Arabica","Lib","Liberica","")</f>
        <v>Excelsa</v>
      </c>
      <c r="O530" t="str" cm="1">
        <f t="array" ref="O530">_xlfn.SWITCH(J530,"M","Medium","D","Dark","L","Light")</f>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_xlfn.LET(_xlpm.val,_xlfn.XLOOKUP(C531,customers!$A$1:$A$1001,customers!$C$1:$C$1001,,0),IF(_xlpm.val=0,"",_xlpm.val))</f>
        <v>sarpinep@moonfruit.com</v>
      </c>
      <c r="H531" s="2" t="str">
        <f>_xlfn.LET(_xlpm.val,_xlfn.XLOOKUP(C531,customers!$A$1:$A$1001,customers!$G$1:$G$1001,,0),IF(_xlpm.val=0,"",_xlpm.val))</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cm="1">
        <f t="array" ref="N531">_xlfn.SWITCH(I531,"rob","Robusta","exc","Excelsa","Ara","Arabica","Lib","Liberica","")</f>
        <v>Robusta</v>
      </c>
      <c r="O531" t="str" cm="1">
        <f t="array" ref="O531">_xlfn.SWITCH(J531,"M","Medium","D","Dark","L","Light")</f>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_xlfn.LET(_xlpm.val,_xlfn.XLOOKUP(C532,customers!$A$1:$A$1001,customers!$C$1:$C$1001,,0),IF(_xlpm.val=0,"",_xlpm.val))</f>
        <v>dfrieseq@cargocollective.com</v>
      </c>
      <c r="H532" s="2" t="str">
        <f>_xlfn.LET(_xlpm.val,_xlfn.XLOOKUP(C532,customers!$A$1:$A$1001,customers!$G$1:$G$1001,,0),IF(_xlpm.val=0,"",_xlpm.val))</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cm="1">
        <f t="array" ref="N532">_xlfn.SWITCH(I532,"rob","Robusta","exc","Excelsa","Ara","Arabica","Lib","Liberica","")</f>
        <v>Robusta</v>
      </c>
      <c r="O532" t="str" cm="1">
        <f t="array" ref="O532">_xlfn.SWITCH(J532,"M","Medium","D","Dark","L","Light")</f>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_xlfn.LET(_xlpm.val,_xlfn.XLOOKUP(C533,customers!$A$1:$A$1001,customers!$C$1:$C$1001,,0),IF(_xlpm.val=0,"",_xlpm.val))</f>
        <v>rsharerer@flavors.me</v>
      </c>
      <c r="H533" s="2" t="str">
        <f>_xlfn.LET(_xlpm.val,_xlfn.XLOOKUP(C533,customers!$A$1:$A$1001,customers!$G$1:$G$1001,,0),IF(_xlpm.val=0,"",_xlpm.val))</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cm="1">
        <f t="array" ref="N533">_xlfn.SWITCH(I533,"rob","Robusta","exc","Excelsa","Ara","Arabica","Lib","Liberica","")</f>
        <v>Robusta</v>
      </c>
      <c r="O533" t="str" cm="1">
        <f t="array" ref="O533">_xlfn.SWITCH(J533,"M","Medium","D","Dark","L","Light")</f>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_xlfn.LET(_xlpm.val,_xlfn.XLOOKUP(C534,customers!$A$1:$A$1001,customers!$C$1:$C$1001,,0),IF(_xlpm.val=0,"",_xlpm.val))</f>
        <v>nnasebyes@umich.edu</v>
      </c>
      <c r="H534" s="2" t="str">
        <f>_xlfn.LET(_xlpm.val,_xlfn.XLOOKUP(C534,customers!$A$1:$A$1001,customers!$G$1:$G$1001,,0),IF(_xlpm.val=0,"",_xlpm.val))</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cm="1">
        <f t="array" ref="N534">_xlfn.SWITCH(I534,"rob","Robusta","exc","Excelsa","Ara","Arabica","Lib","Liberica","")</f>
        <v>Excelsa</v>
      </c>
      <c r="O534" t="str" cm="1">
        <f t="array" ref="O534">_xlfn.SWITCH(J534,"M","Medium","D","Dark","L","Light")</f>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_xlfn.LET(_xlpm.val,_xlfn.XLOOKUP(C535,customers!$A$1:$A$1001,customers!$C$1:$C$1001,,0),IF(_xlpm.val=0,"",_xlpm.val))</f>
        <v/>
      </c>
      <c r="H535" s="2" t="str">
        <f>_xlfn.LET(_xlpm.val,_xlfn.XLOOKUP(C535,customers!$A$1:$A$1001,customers!$G$1:$G$1001,,0),IF(_xlpm.val=0,"",_xlpm.val))</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cm="1">
        <f t="array" ref="N535">_xlfn.SWITCH(I535,"rob","Robusta","exc","Excelsa","Ara","Arabica","Lib","Liberica","")</f>
        <v>Robusta</v>
      </c>
      <c r="O535" t="str" cm="1">
        <f t="array" ref="O535">_xlfn.SWITCH(J535,"M","Medium","D","Dark","L","Light")</f>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_xlfn.LET(_xlpm.val,_xlfn.XLOOKUP(C536,customers!$A$1:$A$1001,customers!$C$1:$C$1001,,0),IF(_xlpm.val=0,"",_xlpm.val))</f>
        <v>koculleneu@ca.gov</v>
      </c>
      <c r="H536" s="2" t="str">
        <f>_xlfn.LET(_xlpm.val,_xlfn.XLOOKUP(C536,customers!$A$1:$A$1001,customers!$G$1:$G$1001,,0),IF(_xlpm.val=0,"",_xlpm.val))</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cm="1">
        <f t="array" ref="N536">_xlfn.SWITCH(I536,"rob","Robusta","exc","Excelsa","Ara","Arabica","Lib","Liberica","")</f>
        <v>Robusta</v>
      </c>
      <c r="O536" t="str" cm="1">
        <f t="array" ref="O536">_xlfn.SWITCH(J536,"M","Medium","D","Dark","L","Light")</f>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_xlfn.LET(_xlpm.val,_xlfn.XLOOKUP(C537,customers!$A$1:$A$1001,customers!$C$1:$C$1001,,0),IF(_xlpm.val=0,"",_xlpm.val))</f>
        <v/>
      </c>
      <c r="H537" s="2" t="str">
        <f>_xlfn.LET(_xlpm.val,_xlfn.XLOOKUP(C537,customers!$A$1:$A$1001,customers!$G$1:$G$1001,,0),IF(_xlpm.val=0,"",_xlpm.val))</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cm="1">
        <f t="array" ref="N537">_xlfn.SWITCH(I537,"rob","Robusta","exc","Excelsa","Ara","Arabica","Lib","Liberica","")</f>
        <v>Liberica</v>
      </c>
      <c r="O537" t="str" cm="1">
        <f t="array" ref="O537">_xlfn.SWITCH(J537,"M","Medium","D","Dark","L","Light")</f>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_xlfn.LET(_xlpm.val,_xlfn.XLOOKUP(C538,customers!$A$1:$A$1001,customers!$C$1:$C$1001,,0),IF(_xlpm.val=0,"",_xlpm.val))</f>
        <v>murione5@alexa.com</v>
      </c>
      <c r="H538" s="2" t="str">
        <f>_xlfn.LET(_xlpm.val,_xlfn.XLOOKUP(C538,customers!$A$1:$A$1001,customers!$G$1:$G$1001,,0),IF(_xlpm.val=0,"",_xlpm.val))</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cm="1">
        <f t="array" ref="N538">_xlfn.SWITCH(I538,"rob","Robusta","exc","Excelsa","Ara","Arabica","Lib","Liberica","")</f>
        <v>Robusta</v>
      </c>
      <c r="O538" t="str" cm="1">
        <f t="array" ref="O538">_xlfn.SWITCH(J538,"M","Medium","D","Dark","L","Light")</f>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_xlfn.LET(_xlpm.val,_xlfn.XLOOKUP(C539,customers!$A$1:$A$1001,customers!$C$1:$C$1001,,0),IF(_xlpm.val=0,"",_xlpm.val))</f>
        <v>hbranganex@woothemes.com</v>
      </c>
      <c r="H539" s="2" t="str">
        <f>_xlfn.LET(_xlpm.val,_xlfn.XLOOKUP(C539,customers!$A$1:$A$1001,customers!$G$1:$G$1001,,0),IF(_xlpm.val=0,"",_xlpm.val))</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cm="1">
        <f t="array" ref="N539">_xlfn.SWITCH(I539,"rob","Robusta","exc","Excelsa","Ara","Arabica","Lib","Liberica","")</f>
        <v>Excelsa</v>
      </c>
      <c r="O539" t="str" cm="1">
        <f t="array" ref="O539">_xlfn.SWITCH(J539,"M","Medium","D","Dark","L","Light")</f>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_xlfn.LET(_xlpm.val,_xlfn.XLOOKUP(C540,customers!$A$1:$A$1001,customers!$C$1:$C$1001,,0),IF(_xlpm.val=0,"",_xlpm.val))</f>
        <v>agallyoney@engadget.com</v>
      </c>
      <c r="H540" s="2" t="str">
        <f>_xlfn.LET(_xlpm.val,_xlfn.XLOOKUP(C540,customers!$A$1:$A$1001,customers!$G$1:$G$1001,,0),IF(_xlpm.val=0,"",_xlpm.val))</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cm="1">
        <f t="array" ref="N540">_xlfn.SWITCH(I540,"rob","Robusta","exc","Excelsa","Ara","Arabica","Lib","Liberica","")</f>
        <v>Robusta</v>
      </c>
      <c r="O540" t="str" cm="1">
        <f t="array" ref="O540">_xlfn.SWITCH(J540,"M","Medium","D","Dark","L","Light")</f>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_xlfn.LET(_xlpm.val,_xlfn.XLOOKUP(C541,customers!$A$1:$A$1001,customers!$C$1:$C$1001,,0),IF(_xlpm.val=0,"",_xlpm.val))</f>
        <v>bdomangeez@yahoo.co.jp</v>
      </c>
      <c r="H541" s="2" t="str">
        <f>_xlfn.LET(_xlpm.val,_xlfn.XLOOKUP(C541,customers!$A$1:$A$1001,customers!$G$1:$G$1001,,0),IF(_xlpm.val=0,"",_xlpm.val))</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cm="1">
        <f t="array" ref="N541">_xlfn.SWITCH(I541,"rob","Robusta","exc","Excelsa","Ara","Arabica","Lib","Liberica","")</f>
        <v>Robusta</v>
      </c>
      <c r="O541" t="str" cm="1">
        <f t="array" ref="O541">_xlfn.SWITCH(J541,"M","Medium","D","Dark","L","Light")</f>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_xlfn.LET(_xlpm.val,_xlfn.XLOOKUP(C542,customers!$A$1:$A$1001,customers!$C$1:$C$1001,,0),IF(_xlpm.val=0,"",_xlpm.val))</f>
        <v>koslerf0@gmpg.org</v>
      </c>
      <c r="H542" s="2" t="str">
        <f>_xlfn.LET(_xlpm.val,_xlfn.XLOOKUP(C542,customers!$A$1:$A$1001,customers!$G$1:$G$1001,,0),IF(_xlpm.val=0,"",_xlpm.val))</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cm="1">
        <f t="array" ref="N542">_xlfn.SWITCH(I542,"rob","Robusta","exc","Excelsa","Ara","Arabica","Lib","Liberica","")</f>
        <v>Liberica</v>
      </c>
      <c r="O542" t="str" cm="1">
        <f t="array" ref="O542">_xlfn.SWITCH(J542,"M","Medium","D","Dark","L","Light")</f>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_xlfn.LET(_xlpm.val,_xlfn.XLOOKUP(C543,customers!$A$1:$A$1001,customers!$C$1:$C$1001,,0),IF(_xlpm.val=0,"",_xlpm.val))</f>
        <v/>
      </c>
      <c r="H543" s="2" t="str">
        <f>_xlfn.LET(_xlpm.val,_xlfn.XLOOKUP(C543,customers!$A$1:$A$1001,customers!$G$1:$G$1001,,0),IF(_xlpm.val=0,"",_xlpm.val))</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cm="1">
        <f t="array" ref="N543">_xlfn.SWITCH(I543,"rob","Robusta","exc","Excelsa","Ara","Arabica","Lib","Liberica","")</f>
        <v>Arabica</v>
      </c>
      <c r="O543" t="str" cm="1">
        <f t="array" ref="O543">_xlfn.SWITCH(J543,"M","Medium","D","Dark","L","Light")</f>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_xlfn.LET(_xlpm.val,_xlfn.XLOOKUP(C544,customers!$A$1:$A$1001,customers!$C$1:$C$1001,,0),IF(_xlpm.val=0,"",_xlpm.val))</f>
        <v>zpellettf2@dailymotion.com</v>
      </c>
      <c r="H544" s="2" t="str">
        <f>_xlfn.LET(_xlpm.val,_xlfn.XLOOKUP(C544,customers!$A$1:$A$1001,customers!$G$1:$G$1001,,0),IF(_xlpm.val=0,"",_xlpm.val))</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cm="1">
        <f t="array" ref="N544">_xlfn.SWITCH(I544,"rob","Robusta","exc","Excelsa","Ara","Arabica","Lib","Liberica","")</f>
        <v>Arabica</v>
      </c>
      <c r="O544" t="str" cm="1">
        <f t="array" ref="O544">_xlfn.SWITCH(J544,"M","Medium","D","Dark","L","Light")</f>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_xlfn.LET(_xlpm.val,_xlfn.XLOOKUP(C545,customers!$A$1:$A$1001,customers!$C$1:$C$1001,,0),IF(_xlpm.val=0,"",_xlpm.val))</f>
        <v>isprakesf3@spiegel.de</v>
      </c>
      <c r="H545" s="2" t="str">
        <f>_xlfn.LET(_xlpm.val,_xlfn.XLOOKUP(C545,customers!$A$1:$A$1001,customers!$G$1:$G$1001,,0),IF(_xlpm.val=0,"",_xlpm.val))</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cm="1">
        <f t="array" ref="N545">_xlfn.SWITCH(I545,"rob","Robusta","exc","Excelsa","Ara","Arabica","Lib","Liberica","")</f>
        <v>Robusta</v>
      </c>
      <c r="O545" t="str" cm="1">
        <f t="array" ref="O545">_xlfn.SWITCH(J545,"M","Medium","D","Dark","L","Light")</f>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_xlfn.LET(_xlpm.val,_xlfn.XLOOKUP(C546,customers!$A$1:$A$1001,customers!$C$1:$C$1001,,0),IF(_xlpm.val=0,"",_xlpm.val))</f>
        <v>hfromantf4@ucsd.edu</v>
      </c>
      <c r="H546" s="2" t="str">
        <f>_xlfn.LET(_xlpm.val,_xlfn.XLOOKUP(C546,customers!$A$1:$A$1001,customers!$G$1:$G$1001,,0),IF(_xlpm.val=0,"",_xlpm.val))</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cm="1">
        <f t="array" ref="N546">_xlfn.SWITCH(I546,"rob","Robusta","exc","Excelsa","Ara","Arabica","Lib","Liberica","")</f>
        <v>Arabica</v>
      </c>
      <c r="O546" t="str" cm="1">
        <f t="array" ref="O546">_xlfn.SWITCH(J546,"M","Medium","D","Dark","L","Light")</f>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_xlfn.LET(_xlpm.val,_xlfn.XLOOKUP(C547,customers!$A$1:$A$1001,customers!$C$1:$C$1001,,0),IF(_xlpm.val=0,"",_xlpm.val))</f>
        <v>rflearf5@artisteer.com</v>
      </c>
      <c r="H547" s="2" t="str">
        <f>_xlfn.LET(_xlpm.val,_xlfn.XLOOKUP(C547,customers!$A$1:$A$1001,customers!$G$1:$G$1001,,0),IF(_xlpm.val=0,"",_xlpm.val))</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cm="1">
        <f t="array" ref="N547">_xlfn.SWITCH(I547,"rob","Robusta","exc","Excelsa","Ara","Arabica","Lib","Liberica","")</f>
        <v>Liberica</v>
      </c>
      <c r="O547" t="str" cm="1">
        <f t="array" ref="O547">_xlfn.SWITCH(J547,"M","Medium","D","Dark","L","Light")</f>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_xlfn.LET(_xlpm.val,_xlfn.XLOOKUP(C548,customers!$A$1:$A$1001,customers!$C$1:$C$1001,,0),IF(_xlpm.val=0,"",_xlpm.val))</f>
        <v/>
      </c>
      <c r="H548" s="2" t="str">
        <f>_xlfn.LET(_xlpm.val,_xlfn.XLOOKUP(C548,customers!$A$1:$A$1001,customers!$G$1:$G$1001,,0),IF(_xlpm.val=0,"",_xlpm.val))</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cm="1">
        <f t="array" ref="N548">_xlfn.SWITCH(I548,"rob","Robusta","exc","Excelsa","Ara","Arabica","Lib","Liberica","")</f>
        <v>Excelsa</v>
      </c>
      <c r="O548" t="str" cm="1">
        <f t="array" ref="O548">_xlfn.SWITCH(J548,"M","Medium","D","Dark","L","Light")</f>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_xlfn.LET(_xlpm.val,_xlfn.XLOOKUP(C549,customers!$A$1:$A$1001,customers!$C$1:$C$1001,,0),IF(_xlpm.val=0,"",_xlpm.val))</f>
        <v>wlightollersf9@baidu.com</v>
      </c>
      <c r="H549" s="2" t="str">
        <f>_xlfn.LET(_xlpm.val,_xlfn.XLOOKUP(C549,customers!$A$1:$A$1001,customers!$G$1:$G$1001,,0),IF(_xlpm.val=0,"",_xlpm.val))</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cm="1">
        <f t="array" ref="N549">_xlfn.SWITCH(I549,"rob","Robusta","exc","Excelsa","Ara","Arabica","Lib","Liberica","")</f>
        <v>Robusta</v>
      </c>
      <c r="O549" t="str" cm="1">
        <f t="array" ref="O549">_xlfn.SWITCH(J549,"M","Medium","D","Dark","L","Light")</f>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_xlfn.LET(_xlpm.val,_xlfn.XLOOKUP(C550,customers!$A$1:$A$1001,customers!$C$1:$C$1001,,0),IF(_xlpm.val=0,"",_xlpm.val))</f>
        <v>bmundenf8@elpais.com</v>
      </c>
      <c r="H550" s="2" t="str">
        <f>_xlfn.LET(_xlpm.val,_xlfn.XLOOKUP(C550,customers!$A$1:$A$1001,customers!$G$1:$G$1001,,0),IF(_xlpm.val=0,"",_xlpm.val))</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cm="1">
        <f t="array" ref="N550">_xlfn.SWITCH(I550,"rob","Robusta","exc","Excelsa","Ara","Arabica","Lib","Liberica","")</f>
        <v>Excelsa</v>
      </c>
      <c r="O550" t="str" cm="1">
        <f t="array" ref="O550">_xlfn.SWITCH(J550,"M","Medium","D","Dark","L","Light")</f>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_xlfn.LET(_xlpm.val,_xlfn.XLOOKUP(C551,customers!$A$1:$A$1001,customers!$C$1:$C$1001,,0),IF(_xlpm.val=0,"",_xlpm.val))</f>
        <v>wlightollersf9@baidu.com</v>
      </c>
      <c r="H551" s="2" t="str">
        <f>_xlfn.LET(_xlpm.val,_xlfn.XLOOKUP(C551,customers!$A$1:$A$1001,customers!$G$1:$G$1001,,0),IF(_xlpm.val=0,"",_xlpm.val))</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cm="1">
        <f t="array" ref="N551">_xlfn.SWITCH(I551,"rob","Robusta","exc","Excelsa","Ara","Arabica","Lib","Liberica","")</f>
        <v>Excelsa</v>
      </c>
      <c r="O551" t="str" cm="1">
        <f t="array" ref="O551">_xlfn.SWITCH(J551,"M","Medium","D","Dark","L","Light")</f>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_xlfn.LET(_xlpm.val,_xlfn.XLOOKUP(C552,customers!$A$1:$A$1001,customers!$C$1:$C$1001,,0),IF(_xlpm.val=0,"",_xlpm.val))</f>
        <v>nbrakespearfa@rediff.com</v>
      </c>
      <c r="H552" s="2" t="str">
        <f>_xlfn.LET(_xlpm.val,_xlfn.XLOOKUP(C552,customers!$A$1:$A$1001,customers!$G$1:$G$1001,,0),IF(_xlpm.val=0,"",_xlpm.val))</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cm="1">
        <f t="array" ref="N552">_xlfn.SWITCH(I552,"rob","Robusta","exc","Excelsa","Ara","Arabica","Lib","Liberica","")</f>
        <v>Liberica</v>
      </c>
      <c r="O552" t="str" cm="1">
        <f t="array" ref="O552">_xlfn.SWITCH(J552,"M","Medium","D","Dark","L","Light")</f>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_xlfn.LET(_xlpm.val,_xlfn.XLOOKUP(C553,customers!$A$1:$A$1001,customers!$C$1:$C$1001,,0),IF(_xlpm.val=0,"",_xlpm.val))</f>
        <v>mglawsopfb@reverbnation.com</v>
      </c>
      <c r="H553" s="2" t="str">
        <f>_xlfn.LET(_xlpm.val,_xlfn.XLOOKUP(C553,customers!$A$1:$A$1001,customers!$G$1:$G$1001,,0),IF(_xlpm.val=0,"",_xlpm.val))</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cm="1">
        <f t="array" ref="N553">_xlfn.SWITCH(I553,"rob","Robusta","exc","Excelsa","Ara","Arabica","Lib","Liberica","")</f>
        <v>Excelsa</v>
      </c>
      <c r="O553" t="str" cm="1">
        <f t="array" ref="O553">_xlfn.SWITCH(J553,"M","Medium","D","Dark","L","Light")</f>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_xlfn.LET(_xlpm.val,_xlfn.XLOOKUP(C554,customers!$A$1:$A$1001,customers!$C$1:$C$1001,,0),IF(_xlpm.val=0,"",_xlpm.val))</f>
        <v>galbertsfc@etsy.com</v>
      </c>
      <c r="H554" s="2" t="str">
        <f>_xlfn.LET(_xlpm.val,_xlfn.XLOOKUP(C554,customers!$A$1:$A$1001,customers!$G$1:$G$1001,,0),IF(_xlpm.val=0,"",_xlpm.val))</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cm="1">
        <f t="array" ref="N554">_xlfn.SWITCH(I554,"rob","Robusta","exc","Excelsa","Ara","Arabica","Lib","Liberica","")</f>
        <v>Excelsa</v>
      </c>
      <c r="O554" t="str" cm="1">
        <f t="array" ref="O554">_xlfn.SWITCH(J554,"M","Medium","D","Dark","L","Light")</f>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_xlfn.LET(_xlpm.val,_xlfn.XLOOKUP(C555,customers!$A$1:$A$1001,customers!$C$1:$C$1001,,0),IF(_xlpm.val=0,"",_xlpm.val))</f>
        <v>vpolglasefd@about.me</v>
      </c>
      <c r="H555" s="2" t="str">
        <f>_xlfn.LET(_xlpm.val,_xlfn.XLOOKUP(C555,customers!$A$1:$A$1001,customers!$G$1:$G$1001,,0),IF(_xlpm.val=0,"",_xlpm.val))</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cm="1">
        <f t="array" ref="N555">_xlfn.SWITCH(I555,"rob","Robusta","exc","Excelsa","Ara","Arabica","Lib","Liberica","")</f>
        <v>Excelsa</v>
      </c>
      <c r="O555" t="str" cm="1">
        <f t="array" ref="O555">_xlfn.SWITCH(J555,"M","Medium","D","Dark","L","Light")</f>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_xlfn.LET(_xlpm.val,_xlfn.XLOOKUP(C556,customers!$A$1:$A$1001,customers!$C$1:$C$1001,,0),IF(_xlpm.val=0,"",_xlpm.val))</f>
        <v/>
      </c>
      <c r="H556" s="2" t="str">
        <f>_xlfn.LET(_xlpm.val,_xlfn.XLOOKUP(C556,customers!$A$1:$A$1001,customers!$G$1:$G$1001,,0),IF(_xlpm.val=0,"",_xlpm.val))</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cm="1">
        <f t="array" ref="N556">_xlfn.SWITCH(I556,"rob","Robusta","exc","Excelsa","Ara","Arabica","Lib","Liberica","")</f>
        <v>Robusta</v>
      </c>
      <c r="O556" t="str" cm="1">
        <f t="array" ref="O556">_xlfn.SWITCH(J556,"M","Medium","D","Dark","L","Light")</f>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_xlfn.LET(_xlpm.val,_xlfn.XLOOKUP(C557,customers!$A$1:$A$1001,customers!$C$1:$C$1001,,0),IF(_xlpm.val=0,"",_xlpm.val))</f>
        <v>sbuschff@so-net.ne.jp</v>
      </c>
      <c r="H557" s="2" t="str">
        <f>_xlfn.LET(_xlpm.val,_xlfn.XLOOKUP(C557,customers!$A$1:$A$1001,customers!$G$1:$G$1001,,0),IF(_xlpm.val=0,"",_xlpm.val))</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cm="1">
        <f t="array" ref="N557">_xlfn.SWITCH(I557,"rob","Robusta","exc","Excelsa","Ara","Arabica","Lib","Liberica","")</f>
        <v>Excelsa</v>
      </c>
      <c r="O557" t="str" cm="1">
        <f t="array" ref="O557">_xlfn.SWITCH(J557,"M","Medium","D","Dark","L","Light")</f>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_xlfn.LET(_xlpm.val,_xlfn.XLOOKUP(C558,customers!$A$1:$A$1001,customers!$C$1:$C$1001,,0),IF(_xlpm.val=0,"",_xlpm.val))</f>
        <v>craisbeckfg@webnode.com</v>
      </c>
      <c r="H558" s="2" t="str">
        <f>_xlfn.LET(_xlpm.val,_xlfn.XLOOKUP(C558,customers!$A$1:$A$1001,customers!$G$1:$G$1001,,0),IF(_xlpm.val=0,"",_xlpm.val))</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cm="1">
        <f t="array" ref="N558">_xlfn.SWITCH(I558,"rob","Robusta","exc","Excelsa","Ara","Arabica","Lib","Liberica","")</f>
        <v>Liberica</v>
      </c>
      <c r="O558" t="str" cm="1">
        <f t="array" ref="O558">_xlfn.SWITCH(J558,"M","Medium","D","Dark","L","Light")</f>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_xlfn.LET(_xlpm.val,_xlfn.XLOOKUP(C559,customers!$A$1:$A$1001,customers!$C$1:$C$1001,,0),IF(_xlpm.val=0,"",_xlpm.val))</f>
        <v>murione5@alexa.com</v>
      </c>
      <c r="H559" s="2" t="str">
        <f>_xlfn.LET(_xlpm.val,_xlfn.XLOOKUP(C559,customers!$A$1:$A$1001,customers!$G$1:$G$1001,,0),IF(_xlpm.val=0,"",_xlpm.val))</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cm="1">
        <f t="array" ref="N559">_xlfn.SWITCH(I559,"rob","Robusta","exc","Excelsa","Ara","Arabica","Lib","Liberica","")</f>
        <v>Excelsa</v>
      </c>
      <c r="O559" t="str" cm="1">
        <f t="array" ref="O559">_xlfn.SWITCH(J559,"M","Medium","D","Dark","L","Light")</f>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_xlfn.LET(_xlpm.val,_xlfn.XLOOKUP(C560,customers!$A$1:$A$1001,customers!$C$1:$C$1001,,0),IF(_xlpm.val=0,"",_xlpm.val))</f>
        <v/>
      </c>
      <c r="H560" s="2" t="str">
        <f>_xlfn.LET(_xlpm.val,_xlfn.XLOOKUP(C560,customers!$A$1:$A$1001,customers!$G$1:$G$1001,,0),IF(_xlpm.val=0,"",_xlpm.val))</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cm="1">
        <f t="array" ref="N560">_xlfn.SWITCH(I560,"rob","Robusta","exc","Excelsa","Ara","Arabica","Lib","Liberica","")</f>
        <v>Liberica</v>
      </c>
      <c r="O560" t="str" cm="1">
        <f t="array" ref="O560">_xlfn.SWITCH(J560,"M","Medium","D","Dark","L","Light")</f>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_xlfn.LET(_xlpm.val,_xlfn.XLOOKUP(C561,customers!$A$1:$A$1001,customers!$C$1:$C$1001,,0),IF(_xlpm.val=0,"",_xlpm.val))</f>
        <v>raynoldfj@ustream.tv</v>
      </c>
      <c r="H561" s="2" t="str">
        <f>_xlfn.LET(_xlpm.val,_xlfn.XLOOKUP(C561,customers!$A$1:$A$1001,customers!$G$1:$G$1001,,0),IF(_xlpm.val=0,"",_xlpm.val))</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cm="1">
        <f t="array" ref="N561">_xlfn.SWITCH(I561,"rob","Robusta","exc","Excelsa","Ara","Arabica","Lib","Liberica","")</f>
        <v>Arabica</v>
      </c>
      <c r="O561" t="str" cm="1">
        <f t="array" ref="O561">_xlfn.SWITCH(J561,"M","Medium","D","Dark","L","Light")</f>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_xlfn.LET(_xlpm.val,_xlfn.XLOOKUP(C562,customers!$A$1:$A$1001,customers!$C$1:$C$1001,,0),IF(_xlpm.val=0,"",_xlpm.val))</f>
        <v/>
      </c>
      <c r="H562" s="2" t="str">
        <f>_xlfn.LET(_xlpm.val,_xlfn.XLOOKUP(C562,customers!$A$1:$A$1001,customers!$G$1:$G$1001,,0),IF(_xlpm.val=0,"",_xlpm.val))</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cm="1">
        <f t="array" ref="N562">_xlfn.SWITCH(I562,"rob","Robusta","exc","Excelsa","Ara","Arabica","Lib","Liberica","")</f>
        <v>Excelsa</v>
      </c>
      <c r="O562" t="str" cm="1">
        <f t="array" ref="O562">_xlfn.SWITCH(J562,"M","Medium","D","Dark","L","Light")</f>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_xlfn.LET(_xlpm.val,_xlfn.XLOOKUP(C563,customers!$A$1:$A$1001,customers!$C$1:$C$1001,,0),IF(_xlpm.val=0,"",_xlpm.val))</f>
        <v/>
      </c>
      <c r="H563" s="2" t="str">
        <f>_xlfn.LET(_xlpm.val,_xlfn.XLOOKUP(C563,customers!$A$1:$A$1001,customers!$G$1:$G$1001,,0),IF(_xlpm.val=0,"",_xlpm.val))</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cm="1">
        <f t="array" ref="N563">_xlfn.SWITCH(I563,"rob","Robusta","exc","Excelsa","Ara","Arabica","Lib","Liberica","")</f>
        <v>Arabica</v>
      </c>
      <c r="O563" t="str" cm="1">
        <f t="array" ref="O563">_xlfn.SWITCH(J563,"M","Medium","D","Dark","L","Light")</f>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_xlfn.LET(_xlpm.val,_xlfn.XLOOKUP(C564,customers!$A$1:$A$1001,customers!$C$1:$C$1001,,0),IF(_xlpm.val=0,"",_xlpm.val))</f>
        <v>bgrecefm@naver.com</v>
      </c>
      <c r="H564" s="2" t="str">
        <f>_xlfn.LET(_xlpm.val,_xlfn.XLOOKUP(C564,customers!$A$1:$A$1001,customers!$G$1:$G$1001,,0),IF(_xlpm.val=0,"",_xlpm.val))</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cm="1">
        <f t="array" ref="N564">_xlfn.SWITCH(I564,"rob","Robusta","exc","Excelsa","Ara","Arabica","Lib","Liberica","")</f>
        <v>Liberica</v>
      </c>
      <c r="O564" t="str" cm="1">
        <f t="array" ref="O564">_xlfn.SWITCH(J564,"M","Medium","D","Dark","L","Light")</f>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_xlfn.LET(_xlpm.val,_xlfn.XLOOKUP(C565,customers!$A$1:$A$1001,customers!$C$1:$C$1001,,0),IF(_xlpm.val=0,"",_xlpm.val))</f>
        <v>dflintiffg1@e-recht24.de</v>
      </c>
      <c r="H565" s="2" t="str">
        <f>_xlfn.LET(_xlpm.val,_xlfn.XLOOKUP(C565,customers!$A$1:$A$1001,customers!$G$1:$G$1001,,0),IF(_xlpm.val=0,"",_xlpm.val))</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cm="1">
        <f t="array" ref="N565">_xlfn.SWITCH(I565,"rob","Robusta","exc","Excelsa","Ara","Arabica","Lib","Liberica","")</f>
        <v>Excelsa</v>
      </c>
      <c r="O565" t="str" cm="1">
        <f t="array" ref="O565">_xlfn.SWITCH(J565,"M","Medium","D","Dark","L","Light")</f>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_xlfn.LET(_xlpm.val,_xlfn.XLOOKUP(C566,customers!$A$1:$A$1001,customers!$C$1:$C$1001,,0),IF(_xlpm.val=0,"",_xlpm.val))</f>
        <v>athysfo@cdc.gov</v>
      </c>
      <c r="H566" s="2" t="str">
        <f>_xlfn.LET(_xlpm.val,_xlfn.XLOOKUP(C566,customers!$A$1:$A$1001,customers!$G$1:$G$1001,,0),IF(_xlpm.val=0,"",_xlpm.val))</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cm="1">
        <f t="array" ref="N566">_xlfn.SWITCH(I566,"rob","Robusta","exc","Excelsa","Ara","Arabica","Lib","Liberica","")</f>
        <v>Robusta</v>
      </c>
      <c r="O566" t="str" cm="1">
        <f t="array" ref="O566">_xlfn.SWITCH(J566,"M","Medium","D","Dark","L","Light")</f>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_xlfn.LET(_xlpm.val,_xlfn.XLOOKUP(C567,customers!$A$1:$A$1001,customers!$C$1:$C$1001,,0),IF(_xlpm.val=0,"",_xlpm.val))</f>
        <v>jchuggfp@about.me</v>
      </c>
      <c r="H567" s="2" t="str">
        <f>_xlfn.LET(_xlpm.val,_xlfn.XLOOKUP(C567,customers!$A$1:$A$1001,customers!$G$1:$G$1001,,0),IF(_xlpm.val=0,"",_xlpm.val))</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cm="1">
        <f t="array" ref="N567">_xlfn.SWITCH(I567,"rob","Robusta","exc","Excelsa","Ara","Arabica","Lib","Liberica","")</f>
        <v>Robusta</v>
      </c>
      <c r="O567" t="str" cm="1">
        <f t="array" ref="O567">_xlfn.SWITCH(J567,"M","Medium","D","Dark","L","Light")</f>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_xlfn.LET(_xlpm.val,_xlfn.XLOOKUP(C568,customers!$A$1:$A$1001,customers!$C$1:$C$1001,,0),IF(_xlpm.val=0,"",_xlpm.val))</f>
        <v>akelstonfq@sakura.ne.jp</v>
      </c>
      <c r="H568" s="2" t="str">
        <f>_xlfn.LET(_xlpm.val,_xlfn.XLOOKUP(C568,customers!$A$1:$A$1001,customers!$G$1:$G$1001,,0),IF(_xlpm.val=0,"",_xlpm.val))</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cm="1">
        <f t="array" ref="N568">_xlfn.SWITCH(I568,"rob","Robusta","exc","Excelsa","Ara","Arabica","Lib","Liberica","")</f>
        <v>Arabica</v>
      </c>
      <c r="O568" t="str" cm="1">
        <f t="array" ref="O568">_xlfn.SWITCH(J568,"M","Medium","D","Dark","L","Light")</f>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_xlfn.LET(_xlpm.val,_xlfn.XLOOKUP(C569,customers!$A$1:$A$1001,customers!$C$1:$C$1001,,0),IF(_xlpm.val=0,"",_xlpm.val))</f>
        <v/>
      </c>
      <c r="H569" s="2" t="str">
        <f>_xlfn.LET(_xlpm.val,_xlfn.XLOOKUP(C569,customers!$A$1:$A$1001,customers!$G$1:$G$1001,,0),IF(_xlpm.val=0,"",_xlpm.val))</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cm="1">
        <f t="array" ref="N569">_xlfn.SWITCH(I569,"rob","Robusta","exc","Excelsa","Ara","Arabica","Lib","Liberica","")</f>
        <v>Robusta</v>
      </c>
      <c r="O569" t="str" cm="1">
        <f t="array" ref="O569">_xlfn.SWITCH(J569,"M","Medium","D","Dark","L","Light")</f>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_xlfn.LET(_xlpm.val,_xlfn.XLOOKUP(C570,customers!$A$1:$A$1001,customers!$C$1:$C$1001,,0),IF(_xlpm.val=0,"",_xlpm.val))</f>
        <v>cmottramfs@harvard.edu</v>
      </c>
      <c r="H570" s="2" t="str">
        <f>_xlfn.LET(_xlpm.val,_xlfn.XLOOKUP(C570,customers!$A$1:$A$1001,customers!$G$1:$G$1001,,0),IF(_xlpm.val=0,"",_xlpm.val))</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cm="1">
        <f t="array" ref="N570">_xlfn.SWITCH(I570,"rob","Robusta","exc","Excelsa","Ara","Arabica","Lib","Liberica","")</f>
        <v>Liberica</v>
      </c>
      <c r="O570" t="str" cm="1">
        <f t="array" ref="O570">_xlfn.SWITCH(J570,"M","Medium","D","Dark","L","Light")</f>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_xlfn.LET(_xlpm.val,_xlfn.XLOOKUP(C571,customers!$A$1:$A$1001,customers!$C$1:$C$1001,,0),IF(_xlpm.val=0,"",_xlpm.val))</f>
        <v>dflintiffg1@e-recht24.de</v>
      </c>
      <c r="H571" s="2" t="str">
        <f>_xlfn.LET(_xlpm.val,_xlfn.XLOOKUP(C571,customers!$A$1:$A$1001,customers!$G$1:$G$1001,,0),IF(_xlpm.val=0,"",_xlpm.val))</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cm="1">
        <f t="array" ref="N571">_xlfn.SWITCH(I571,"rob","Robusta","exc","Excelsa","Ara","Arabica","Lib","Liberica","")</f>
        <v>Arabica</v>
      </c>
      <c r="O571" t="str" cm="1">
        <f t="array" ref="O571">_xlfn.SWITCH(J571,"M","Medium","D","Dark","L","Light")</f>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_xlfn.LET(_xlpm.val,_xlfn.XLOOKUP(C572,customers!$A$1:$A$1001,customers!$C$1:$C$1001,,0),IF(_xlpm.val=0,"",_xlpm.val))</f>
        <v>dsangwinfu@weebly.com</v>
      </c>
      <c r="H572" s="2" t="str">
        <f>_xlfn.LET(_xlpm.val,_xlfn.XLOOKUP(C572,customers!$A$1:$A$1001,customers!$G$1:$G$1001,,0),IF(_xlpm.val=0,"",_xlpm.val))</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cm="1">
        <f t="array" ref="N572">_xlfn.SWITCH(I572,"rob","Robusta","exc","Excelsa","Ara","Arabica","Lib","Liberica","")</f>
        <v>Arabica</v>
      </c>
      <c r="O572" t="str" cm="1">
        <f t="array" ref="O572">_xlfn.SWITCH(J572,"M","Medium","D","Dark","L","Light")</f>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_xlfn.LET(_xlpm.val,_xlfn.XLOOKUP(C573,customers!$A$1:$A$1001,customers!$C$1:$C$1001,,0),IF(_xlpm.val=0,"",_xlpm.val))</f>
        <v>eaizikowitzfv@virginia.edu</v>
      </c>
      <c r="H573" s="2" t="str">
        <f>_xlfn.LET(_xlpm.val,_xlfn.XLOOKUP(C573,customers!$A$1:$A$1001,customers!$G$1:$G$1001,,0),IF(_xlpm.val=0,"",_xlpm.val))</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cm="1">
        <f t="array" ref="N573">_xlfn.SWITCH(I573,"rob","Robusta","exc","Excelsa","Ara","Arabica","Lib","Liberica","")</f>
        <v>Excelsa</v>
      </c>
      <c r="O573" t="str" cm="1">
        <f t="array" ref="O573">_xlfn.SWITCH(J573,"M","Medium","D","Dark","L","Light")</f>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_xlfn.LET(_xlpm.val,_xlfn.XLOOKUP(C574,customers!$A$1:$A$1001,customers!$C$1:$C$1001,,0),IF(_xlpm.val=0,"",_xlpm.val))</f>
        <v/>
      </c>
      <c r="H574" s="2" t="str">
        <f>_xlfn.LET(_xlpm.val,_xlfn.XLOOKUP(C574,customers!$A$1:$A$1001,customers!$G$1:$G$1001,,0),IF(_xlpm.val=0,"",_xlpm.val))</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cm="1">
        <f t="array" ref="N574">_xlfn.SWITCH(I574,"rob","Robusta","exc","Excelsa","Ara","Arabica","Lib","Liberica","")</f>
        <v>Arabica</v>
      </c>
      <c r="O574" t="str" cm="1">
        <f t="array" ref="O574">_xlfn.SWITCH(J574,"M","Medium","D","Dark","L","Light")</f>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_xlfn.LET(_xlpm.val,_xlfn.XLOOKUP(C575,customers!$A$1:$A$1001,customers!$C$1:$C$1001,,0),IF(_xlpm.val=0,"",_xlpm.val))</f>
        <v>cvenourfx@ask.com</v>
      </c>
      <c r="H575" s="2" t="str">
        <f>_xlfn.LET(_xlpm.val,_xlfn.XLOOKUP(C575,customers!$A$1:$A$1001,customers!$G$1:$G$1001,,0),IF(_xlpm.val=0,"",_xlpm.val))</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cm="1">
        <f t="array" ref="N575">_xlfn.SWITCH(I575,"rob","Robusta","exc","Excelsa","Ara","Arabica","Lib","Liberica","")</f>
        <v>Arabica</v>
      </c>
      <c r="O575" t="str" cm="1">
        <f t="array" ref="O575">_xlfn.SWITCH(J575,"M","Medium","D","Dark","L","Light")</f>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_xlfn.LET(_xlpm.val,_xlfn.XLOOKUP(C576,customers!$A$1:$A$1001,customers!$C$1:$C$1001,,0),IF(_xlpm.val=0,"",_xlpm.val))</f>
        <v>mharbyfy@163.com</v>
      </c>
      <c r="H576" s="2" t="str">
        <f>_xlfn.LET(_xlpm.val,_xlfn.XLOOKUP(C576,customers!$A$1:$A$1001,customers!$G$1:$G$1001,,0),IF(_xlpm.val=0,"",_xlpm.val))</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cm="1">
        <f t="array" ref="N576">_xlfn.SWITCH(I576,"rob","Robusta","exc","Excelsa","Ara","Arabica","Lib","Liberica","")</f>
        <v>Robusta</v>
      </c>
      <c r="O576" t="str" cm="1">
        <f t="array" ref="O576">_xlfn.SWITCH(J576,"M","Medium","D","Dark","L","Light")</f>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_xlfn.LET(_xlpm.val,_xlfn.XLOOKUP(C577,customers!$A$1:$A$1001,customers!$C$1:$C$1001,,0),IF(_xlpm.val=0,"",_xlpm.val))</f>
        <v>rthickpennyfz@cafepress.com</v>
      </c>
      <c r="H577" s="2" t="str">
        <f>_xlfn.LET(_xlpm.val,_xlfn.XLOOKUP(C577,customers!$A$1:$A$1001,customers!$G$1:$G$1001,,0),IF(_xlpm.val=0,"",_xlpm.val))</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cm="1">
        <f t="array" ref="N577">_xlfn.SWITCH(I577,"rob","Robusta","exc","Excelsa","Ara","Arabica","Lib","Liberica","")</f>
        <v>Liberica</v>
      </c>
      <c r="O577" t="str" cm="1">
        <f t="array" ref="O577">_xlfn.SWITCH(J577,"M","Medium","D","Dark","L","Light")</f>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_xlfn.LET(_xlpm.val,_xlfn.XLOOKUP(C578,customers!$A$1:$A$1001,customers!$C$1:$C$1001,,0),IF(_xlpm.val=0,"",_xlpm.val))</f>
        <v>pormerodg0@redcross.org</v>
      </c>
      <c r="H578" s="2" t="str">
        <f>_xlfn.LET(_xlpm.val,_xlfn.XLOOKUP(C578,customers!$A$1:$A$1001,customers!$G$1:$G$1001,,0),IF(_xlpm.val=0,"",_xlpm.val))</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cm="1">
        <f t="array" ref="N578">_xlfn.SWITCH(I578,"rob","Robusta","exc","Excelsa","Ara","Arabica","Lib","Liberica","")</f>
        <v>Arabica</v>
      </c>
      <c r="O578" t="str" cm="1">
        <f t="array" ref="O578">_xlfn.SWITCH(J578,"M","Medium","D","Dark","L","Light")</f>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_xlfn.LET(_xlpm.val,_xlfn.XLOOKUP(C579,customers!$A$1:$A$1001,customers!$C$1:$C$1001,,0),IF(_xlpm.val=0,"",_xlpm.val))</f>
        <v>dflintiffg1@e-recht24.de</v>
      </c>
      <c r="H579" s="2" t="str">
        <f>_xlfn.LET(_xlpm.val,_xlfn.XLOOKUP(C579,customers!$A$1:$A$1001,customers!$G$1:$G$1001,,0),IF(_xlpm.val=0,"",_xlpm.val))</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L579*E579</f>
        <v>58.2</v>
      </c>
      <c r="N579" t="str" cm="1">
        <f t="array" ref="N579">_xlfn.SWITCH(I579,"rob","Robusta","exc","Excelsa","Ara","Arabica","Lib","Liberica","")</f>
        <v>Liberica</v>
      </c>
      <c r="O579" t="str" cm="1">
        <f t="array" ref="O579">_xlfn.SWITCH(J579,"M","Medium","D","Dark","L","Light")</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_xlfn.LET(_xlpm.val,_xlfn.XLOOKUP(C580,customers!$A$1:$A$1001,customers!$C$1:$C$1001,,0),IF(_xlpm.val=0,"",_xlpm.val))</f>
        <v>tzanettig2@gravatar.com</v>
      </c>
      <c r="H580" s="2" t="str">
        <f>_xlfn.LET(_xlpm.val,_xlfn.XLOOKUP(C580,customers!$A$1:$A$1001,customers!$G$1:$G$1001,,0),IF(_xlpm.val=0,"",_xlpm.val))</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cm="1">
        <f t="array" ref="N580">_xlfn.SWITCH(I580,"rob","Robusta","exc","Excelsa","Ara","Arabica","Lib","Liberica","")</f>
        <v>Excelsa</v>
      </c>
      <c r="O580" t="str" cm="1">
        <f t="array" ref="O580">_xlfn.SWITCH(J580,"M","Medium","D","Dark","L","Light")</f>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_xlfn.LET(_xlpm.val,_xlfn.XLOOKUP(C581,customers!$A$1:$A$1001,customers!$C$1:$C$1001,,0),IF(_xlpm.val=0,"",_xlpm.val))</f>
        <v>tzanettig2@gravatar.com</v>
      </c>
      <c r="H581" s="2" t="str">
        <f>_xlfn.LET(_xlpm.val,_xlfn.XLOOKUP(C581,customers!$A$1:$A$1001,customers!$G$1:$G$1001,,0),IF(_xlpm.val=0,"",_xlpm.val))</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cm="1">
        <f t="array" ref="N581">_xlfn.SWITCH(I581,"rob","Robusta","exc","Excelsa","Ara","Arabica","Lib","Liberica","")</f>
        <v>Arabica</v>
      </c>
      <c r="O581" t="str" cm="1">
        <f t="array" ref="O581">_xlfn.SWITCH(J581,"M","Medium","D","Dark","L","Light")</f>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_xlfn.LET(_xlpm.val,_xlfn.XLOOKUP(C582,customers!$A$1:$A$1001,customers!$C$1:$C$1001,,0),IF(_xlpm.val=0,"",_xlpm.val))</f>
        <v>rkirtleyg4@hatena.ne.jp</v>
      </c>
      <c r="H582" s="2" t="str">
        <f>_xlfn.LET(_xlpm.val,_xlfn.XLOOKUP(C582,customers!$A$1:$A$1001,customers!$G$1:$G$1001,,0),IF(_xlpm.val=0,"",_xlpm.val))</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cm="1">
        <f t="array" ref="N582">_xlfn.SWITCH(I582,"rob","Robusta","exc","Excelsa","Ara","Arabica","Lib","Liberica","")</f>
        <v>Excelsa</v>
      </c>
      <c r="O582" t="str" cm="1">
        <f t="array" ref="O582">_xlfn.SWITCH(J582,"M","Medium","D","Dark","L","Light")</f>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_xlfn.LET(_xlpm.val,_xlfn.XLOOKUP(C583,customers!$A$1:$A$1001,customers!$C$1:$C$1001,,0),IF(_xlpm.val=0,"",_xlpm.val))</f>
        <v>cclemencetg5@weather.com</v>
      </c>
      <c r="H583" s="2" t="str">
        <f>_xlfn.LET(_xlpm.val,_xlfn.XLOOKUP(C583,customers!$A$1:$A$1001,customers!$G$1:$G$1001,,0),IF(_xlpm.val=0,"",_xlpm.val))</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cm="1">
        <f t="array" ref="N583">_xlfn.SWITCH(I583,"rob","Robusta","exc","Excelsa","Ara","Arabica","Lib","Liberica","")</f>
        <v>Excelsa</v>
      </c>
      <c r="O583" t="str" cm="1">
        <f t="array" ref="O583">_xlfn.SWITCH(J583,"M","Medium","D","Dark","L","Light")</f>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_xlfn.LET(_xlpm.val,_xlfn.XLOOKUP(C584,customers!$A$1:$A$1001,customers!$C$1:$C$1001,,0),IF(_xlpm.val=0,"",_xlpm.val))</f>
        <v>rdonetg6@oakley.com</v>
      </c>
      <c r="H584" s="2" t="str">
        <f>_xlfn.LET(_xlpm.val,_xlfn.XLOOKUP(C584,customers!$A$1:$A$1001,customers!$G$1:$G$1001,,0),IF(_xlpm.val=0,"",_xlpm.val))</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cm="1">
        <f t="array" ref="N584">_xlfn.SWITCH(I584,"rob","Robusta","exc","Excelsa","Ara","Arabica","Lib","Liberica","")</f>
        <v>Excelsa</v>
      </c>
      <c r="O584" t="str" cm="1">
        <f t="array" ref="O584">_xlfn.SWITCH(J584,"M","Medium","D","Dark","L","Light")</f>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_xlfn.LET(_xlpm.val,_xlfn.XLOOKUP(C585,customers!$A$1:$A$1001,customers!$C$1:$C$1001,,0),IF(_xlpm.val=0,"",_xlpm.val))</f>
        <v>sgaweng7@creativecommons.org</v>
      </c>
      <c r="H585" s="2" t="str">
        <f>_xlfn.LET(_xlpm.val,_xlfn.XLOOKUP(C585,customers!$A$1:$A$1001,customers!$G$1:$G$1001,,0),IF(_xlpm.val=0,"",_xlpm.val))</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cm="1">
        <f t="array" ref="N585">_xlfn.SWITCH(I585,"rob","Robusta","exc","Excelsa","Ara","Arabica","Lib","Liberica","")</f>
        <v>Robusta</v>
      </c>
      <c r="O585" t="str" cm="1">
        <f t="array" ref="O585">_xlfn.SWITCH(J585,"M","Medium","D","Dark","L","Light")</f>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_xlfn.LET(_xlpm.val,_xlfn.XLOOKUP(C586,customers!$A$1:$A$1001,customers!$C$1:$C$1001,,0),IF(_xlpm.val=0,"",_xlpm.val))</f>
        <v>rreadieg8@guardian.co.uk</v>
      </c>
      <c r="H586" s="2" t="str">
        <f>_xlfn.LET(_xlpm.val,_xlfn.XLOOKUP(C586,customers!$A$1:$A$1001,customers!$G$1:$G$1001,,0),IF(_xlpm.val=0,"",_xlpm.val))</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cm="1">
        <f t="array" ref="N586">_xlfn.SWITCH(I586,"rob","Robusta","exc","Excelsa","Ara","Arabica","Lib","Liberica","")</f>
        <v>Robusta</v>
      </c>
      <c r="O586" t="str" cm="1">
        <f t="array" ref="O586">_xlfn.SWITCH(J586,"M","Medium","D","Dark","L","Light")</f>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_xlfn.LET(_xlpm.val,_xlfn.XLOOKUP(C587,customers!$A$1:$A$1001,customers!$C$1:$C$1001,,0),IF(_xlpm.val=0,"",_xlpm.val))</f>
        <v>cverissimogh@theglobeandmail.com</v>
      </c>
      <c r="H587" s="2" t="str">
        <f>_xlfn.LET(_xlpm.val,_xlfn.XLOOKUP(C587,customers!$A$1:$A$1001,customers!$G$1:$G$1001,,0),IF(_xlpm.val=0,"",_xlpm.val))</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cm="1">
        <f t="array" ref="N587">_xlfn.SWITCH(I587,"rob","Robusta","exc","Excelsa","Ara","Arabica","Lib","Liberica","")</f>
        <v>Excelsa</v>
      </c>
      <c r="O587" t="str" cm="1">
        <f t="array" ref="O587">_xlfn.SWITCH(J587,"M","Medium","D","Dark","L","Light")</f>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_xlfn.LET(_xlpm.val,_xlfn.XLOOKUP(C588,customers!$A$1:$A$1001,customers!$C$1:$C$1001,,0),IF(_xlpm.val=0,"",_xlpm.val))</f>
        <v/>
      </c>
      <c r="H588" s="2" t="str">
        <f>_xlfn.LET(_xlpm.val,_xlfn.XLOOKUP(C588,customers!$A$1:$A$1001,customers!$G$1:$G$1001,,0),IF(_xlpm.val=0,"",_xlpm.val))</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cm="1">
        <f t="array" ref="N588">_xlfn.SWITCH(I588,"rob","Robusta","exc","Excelsa","Ara","Arabica","Lib","Liberica","")</f>
        <v>Robusta</v>
      </c>
      <c r="O588" t="str" cm="1">
        <f t="array" ref="O588">_xlfn.SWITCH(J588,"M","Medium","D","Dark","L","Light")</f>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_xlfn.LET(_xlpm.val,_xlfn.XLOOKUP(C589,customers!$A$1:$A$1001,customers!$C$1:$C$1001,,0),IF(_xlpm.val=0,"",_xlpm.val))</f>
        <v>bogb@elpais.com</v>
      </c>
      <c r="H589" s="2" t="str">
        <f>_xlfn.LET(_xlpm.val,_xlfn.XLOOKUP(C589,customers!$A$1:$A$1001,customers!$G$1:$G$1001,,0),IF(_xlpm.val=0,"",_xlpm.val))</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cm="1">
        <f t="array" ref="N589">_xlfn.SWITCH(I589,"rob","Robusta","exc","Excelsa","Ara","Arabica","Lib","Liberica","")</f>
        <v>Liberica</v>
      </c>
      <c r="O589" t="str" cm="1">
        <f t="array" ref="O589">_xlfn.SWITCH(J589,"M","Medium","D","Dark","L","Light")</f>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_xlfn.LET(_xlpm.val,_xlfn.XLOOKUP(C590,customers!$A$1:$A$1001,customers!$C$1:$C$1001,,0),IF(_xlpm.val=0,"",_xlpm.val))</f>
        <v>vstansburygc@unblog.fr</v>
      </c>
      <c r="H590" s="2" t="str">
        <f>_xlfn.LET(_xlpm.val,_xlfn.XLOOKUP(C590,customers!$A$1:$A$1001,customers!$G$1:$G$1001,,0),IF(_xlpm.val=0,"",_xlpm.val))</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cm="1">
        <f t="array" ref="N590">_xlfn.SWITCH(I590,"rob","Robusta","exc","Excelsa","Ara","Arabica","Lib","Liberica","")</f>
        <v>Robusta</v>
      </c>
      <c r="O590" t="str" cm="1">
        <f t="array" ref="O590">_xlfn.SWITCH(J590,"M","Medium","D","Dark","L","Light")</f>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_xlfn.LET(_xlpm.val,_xlfn.XLOOKUP(C591,customers!$A$1:$A$1001,customers!$C$1:$C$1001,,0),IF(_xlpm.val=0,"",_xlpm.val))</f>
        <v>dheinonengd@printfriendly.com</v>
      </c>
      <c r="H591" s="2" t="str">
        <f>_xlfn.LET(_xlpm.val,_xlfn.XLOOKUP(C591,customers!$A$1:$A$1001,customers!$G$1:$G$1001,,0),IF(_xlpm.val=0,"",_xlpm.val))</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cm="1">
        <f t="array" ref="N591">_xlfn.SWITCH(I591,"rob","Robusta","exc","Excelsa","Ara","Arabica","Lib","Liberica","")</f>
        <v>Excelsa</v>
      </c>
      <c r="O591" t="str" cm="1">
        <f t="array" ref="O591">_xlfn.SWITCH(J591,"M","Medium","D","Dark","L","Light")</f>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_xlfn.LET(_xlpm.val,_xlfn.XLOOKUP(C592,customers!$A$1:$A$1001,customers!$C$1:$C$1001,,0),IF(_xlpm.val=0,"",_xlpm.val))</f>
        <v>jshentonge@google.com.hk</v>
      </c>
      <c r="H592" s="2" t="str">
        <f>_xlfn.LET(_xlpm.val,_xlfn.XLOOKUP(C592,customers!$A$1:$A$1001,customers!$G$1:$G$1001,,0),IF(_xlpm.val=0,"",_xlpm.val))</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cm="1">
        <f t="array" ref="N592">_xlfn.SWITCH(I592,"rob","Robusta","exc","Excelsa","Ara","Arabica","Lib","Liberica","")</f>
        <v>Excelsa</v>
      </c>
      <c r="O592" t="str" cm="1">
        <f t="array" ref="O592">_xlfn.SWITCH(J592,"M","Medium","D","Dark","L","Light")</f>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_xlfn.LET(_xlpm.val,_xlfn.XLOOKUP(C593,customers!$A$1:$A$1001,customers!$C$1:$C$1001,,0),IF(_xlpm.val=0,"",_xlpm.val))</f>
        <v>jwilkissongf@nba.com</v>
      </c>
      <c r="H593" s="2" t="str">
        <f>_xlfn.LET(_xlpm.val,_xlfn.XLOOKUP(C593,customers!$A$1:$A$1001,customers!$G$1:$G$1001,,0),IF(_xlpm.val=0,"",_xlpm.val))</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cm="1">
        <f t="array" ref="N593">_xlfn.SWITCH(I593,"rob","Robusta","exc","Excelsa","Ara","Arabica","Lib","Liberica","")</f>
        <v>Robusta</v>
      </c>
      <c r="O593" t="str" cm="1">
        <f t="array" ref="O593">_xlfn.SWITCH(J593,"M","Medium","D","Dark","L","Light")</f>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_xlfn.LET(_xlpm.val,_xlfn.XLOOKUP(C594,customers!$A$1:$A$1001,customers!$C$1:$C$1001,,0),IF(_xlpm.val=0,"",_xlpm.val))</f>
        <v/>
      </c>
      <c r="H594" s="2" t="str">
        <f>_xlfn.LET(_xlpm.val,_xlfn.XLOOKUP(C594,customers!$A$1:$A$1001,customers!$G$1:$G$1001,,0),IF(_xlpm.val=0,"",_xlpm.val))</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cm="1">
        <f t="array" ref="N594">_xlfn.SWITCH(I594,"rob","Robusta","exc","Excelsa","Ara","Arabica","Lib","Liberica","")</f>
        <v>Arabica</v>
      </c>
      <c r="O594" t="str" cm="1">
        <f t="array" ref="O594">_xlfn.SWITCH(J594,"M","Medium","D","Dark","L","Light")</f>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_xlfn.LET(_xlpm.val,_xlfn.XLOOKUP(C595,customers!$A$1:$A$1001,customers!$C$1:$C$1001,,0),IF(_xlpm.val=0,"",_xlpm.val))</f>
        <v>cverissimogh@theglobeandmail.com</v>
      </c>
      <c r="H595" s="2" t="str">
        <f>_xlfn.LET(_xlpm.val,_xlfn.XLOOKUP(C595,customers!$A$1:$A$1001,customers!$G$1:$G$1001,,0),IF(_xlpm.val=0,"",_xlpm.val))</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cm="1">
        <f t="array" ref="N595">_xlfn.SWITCH(I595,"rob","Robusta","exc","Excelsa","Ara","Arabica","Lib","Liberica","")</f>
        <v>Excelsa</v>
      </c>
      <c r="O595" t="str" cm="1">
        <f t="array" ref="O595">_xlfn.SWITCH(J595,"M","Medium","D","Dark","L","Light")</f>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_xlfn.LET(_xlpm.val,_xlfn.XLOOKUP(C596,customers!$A$1:$A$1001,customers!$C$1:$C$1001,,0),IF(_xlpm.val=0,"",_xlpm.val))</f>
        <v>gstarcksgi@abc.net.au</v>
      </c>
      <c r="H596" s="2" t="str">
        <f>_xlfn.LET(_xlpm.val,_xlfn.XLOOKUP(C596,customers!$A$1:$A$1001,customers!$G$1:$G$1001,,0),IF(_xlpm.val=0,"",_xlpm.val))</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cm="1">
        <f t="array" ref="N596">_xlfn.SWITCH(I596,"rob","Robusta","exc","Excelsa","Ara","Arabica","Lib","Liberica","")</f>
        <v>Arabica</v>
      </c>
      <c r="O596" t="str" cm="1">
        <f t="array" ref="O596">_xlfn.SWITCH(J596,"M","Medium","D","Dark","L","Light")</f>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_xlfn.LET(_xlpm.val,_xlfn.XLOOKUP(C597,customers!$A$1:$A$1001,customers!$C$1:$C$1001,,0),IF(_xlpm.val=0,"",_xlpm.val))</f>
        <v/>
      </c>
      <c r="H597" s="2" t="str">
        <f>_xlfn.LET(_xlpm.val,_xlfn.XLOOKUP(C597,customers!$A$1:$A$1001,customers!$G$1:$G$1001,,0),IF(_xlpm.val=0,"",_xlpm.val))</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cm="1">
        <f t="array" ref="N597">_xlfn.SWITCH(I597,"rob","Robusta","exc","Excelsa","Ara","Arabica","Lib","Liberica","")</f>
        <v>Excelsa</v>
      </c>
      <c r="O597" t="str" cm="1">
        <f t="array" ref="O597">_xlfn.SWITCH(J597,"M","Medium","D","Dark","L","Light")</f>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_xlfn.LET(_xlpm.val,_xlfn.XLOOKUP(C598,customers!$A$1:$A$1001,customers!$C$1:$C$1001,,0),IF(_xlpm.val=0,"",_xlpm.val))</f>
        <v>kscholardgk@sbwire.com</v>
      </c>
      <c r="H598" s="2" t="str">
        <f>_xlfn.LET(_xlpm.val,_xlfn.XLOOKUP(C598,customers!$A$1:$A$1001,customers!$G$1:$G$1001,,0),IF(_xlpm.val=0,"",_xlpm.val))</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cm="1">
        <f t="array" ref="N598">_xlfn.SWITCH(I598,"rob","Robusta","exc","Excelsa","Ara","Arabica","Lib","Liberica","")</f>
        <v>Arabica</v>
      </c>
      <c r="O598" t="str" cm="1">
        <f t="array" ref="O598">_xlfn.SWITCH(J598,"M","Medium","D","Dark","L","Light")</f>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_xlfn.LET(_xlpm.val,_xlfn.XLOOKUP(C599,customers!$A$1:$A$1001,customers!$C$1:$C$1001,,0),IF(_xlpm.val=0,"",_xlpm.val))</f>
        <v>bkindleygl@wikimedia.org</v>
      </c>
      <c r="H599" s="2" t="str">
        <f>_xlfn.LET(_xlpm.val,_xlfn.XLOOKUP(C599,customers!$A$1:$A$1001,customers!$G$1:$G$1001,,0),IF(_xlpm.val=0,"",_xlpm.val))</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cm="1">
        <f t="array" ref="N599">_xlfn.SWITCH(I599,"rob","Robusta","exc","Excelsa","Ara","Arabica","Lib","Liberica","")</f>
        <v>Liberica</v>
      </c>
      <c r="O599" t="str" cm="1">
        <f t="array" ref="O599">_xlfn.SWITCH(J599,"M","Medium","D","Dark","L","Light")</f>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_xlfn.LET(_xlpm.val,_xlfn.XLOOKUP(C600,customers!$A$1:$A$1001,customers!$C$1:$C$1001,,0),IF(_xlpm.val=0,"",_xlpm.val))</f>
        <v>khammettgm@dmoz.org</v>
      </c>
      <c r="H600" s="2" t="str">
        <f>_xlfn.LET(_xlpm.val,_xlfn.XLOOKUP(C600,customers!$A$1:$A$1001,customers!$G$1:$G$1001,,0),IF(_xlpm.val=0,"",_xlpm.val))</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cm="1">
        <f t="array" ref="N600">_xlfn.SWITCH(I600,"rob","Robusta","exc","Excelsa","Ara","Arabica","Lib","Liberica","")</f>
        <v>Robusta</v>
      </c>
      <c r="O600" t="str" cm="1">
        <f t="array" ref="O600">_xlfn.SWITCH(J600,"M","Medium","D","Dark","L","Light")</f>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_xlfn.LET(_xlpm.val,_xlfn.XLOOKUP(C601,customers!$A$1:$A$1001,customers!$C$1:$C$1001,,0),IF(_xlpm.val=0,"",_xlpm.val))</f>
        <v>ahulburtgn@fda.gov</v>
      </c>
      <c r="H601" s="2" t="str">
        <f>_xlfn.LET(_xlpm.val,_xlfn.XLOOKUP(C601,customers!$A$1:$A$1001,customers!$G$1:$G$1001,,0),IF(_xlpm.val=0,"",_xlpm.val))</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cm="1">
        <f t="array" ref="N601">_xlfn.SWITCH(I601,"rob","Robusta","exc","Excelsa","Ara","Arabica","Lib","Liberica","")</f>
        <v>Arabica</v>
      </c>
      <c r="O601" t="str" cm="1">
        <f t="array" ref="O601">_xlfn.SWITCH(J601,"M","Medium","D","Dark","L","Light")</f>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_xlfn.LET(_xlpm.val,_xlfn.XLOOKUP(C602,customers!$A$1:$A$1001,customers!$C$1:$C$1001,,0),IF(_xlpm.val=0,"",_xlpm.val))</f>
        <v>plauritzengo@photobucket.com</v>
      </c>
      <c r="H602" s="2" t="str">
        <f>_xlfn.LET(_xlpm.val,_xlfn.XLOOKUP(C602,customers!$A$1:$A$1001,customers!$G$1:$G$1001,,0),IF(_xlpm.val=0,"",_xlpm.val))</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cm="1">
        <f t="array" ref="N602">_xlfn.SWITCH(I602,"rob","Robusta","exc","Excelsa","Ara","Arabica","Lib","Liberica","")</f>
        <v>Liberica</v>
      </c>
      <c r="O602" t="str" cm="1">
        <f t="array" ref="O602">_xlfn.SWITCH(J602,"M","Medium","D","Dark","L","Light")</f>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_xlfn.LET(_xlpm.val,_xlfn.XLOOKUP(C603,customers!$A$1:$A$1001,customers!$C$1:$C$1001,,0),IF(_xlpm.val=0,"",_xlpm.val))</f>
        <v>aburgwingp@redcross.org</v>
      </c>
      <c r="H603" s="2" t="str">
        <f>_xlfn.LET(_xlpm.val,_xlfn.XLOOKUP(C603,customers!$A$1:$A$1001,customers!$G$1:$G$1001,,0),IF(_xlpm.val=0,"",_xlpm.val))</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cm="1">
        <f t="array" ref="N603">_xlfn.SWITCH(I603,"rob","Robusta","exc","Excelsa","Ara","Arabica","Lib","Liberica","")</f>
        <v>Robusta</v>
      </c>
      <c r="O603" t="str" cm="1">
        <f t="array" ref="O603">_xlfn.SWITCH(J603,"M","Medium","D","Dark","L","Light")</f>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_xlfn.LET(_xlpm.val,_xlfn.XLOOKUP(C604,customers!$A$1:$A$1001,customers!$C$1:$C$1001,,0),IF(_xlpm.val=0,"",_xlpm.val))</f>
        <v>erolingq@google.fr</v>
      </c>
      <c r="H604" s="2" t="str">
        <f>_xlfn.LET(_xlpm.val,_xlfn.XLOOKUP(C604,customers!$A$1:$A$1001,customers!$G$1:$G$1001,,0),IF(_xlpm.val=0,"",_xlpm.val))</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cm="1">
        <f t="array" ref="N604">_xlfn.SWITCH(I604,"rob","Robusta","exc","Excelsa","Ara","Arabica","Lib","Liberica","")</f>
        <v>Excelsa</v>
      </c>
      <c r="O604" t="str" cm="1">
        <f t="array" ref="O604">_xlfn.SWITCH(J604,"M","Medium","D","Dark","L","Light")</f>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_xlfn.LET(_xlpm.val,_xlfn.XLOOKUP(C605,customers!$A$1:$A$1001,customers!$C$1:$C$1001,,0),IF(_xlpm.val=0,"",_xlpm.val))</f>
        <v>dfowlegr@epa.gov</v>
      </c>
      <c r="H605" s="2" t="str">
        <f>_xlfn.LET(_xlpm.val,_xlfn.XLOOKUP(C605,customers!$A$1:$A$1001,customers!$G$1:$G$1001,,0),IF(_xlpm.val=0,"",_xlpm.val))</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cm="1">
        <f t="array" ref="N605">_xlfn.SWITCH(I605,"rob","Robusta","exc","Excelsa","Ara","Arabica","Lib","Liberica","")</f>
        <v>Robusta</v>
      </c>
      <c r="O605" t="str" cm="1">
        <f t="array" ref="O605">_xlfn.SWITCH(J605,"M","Medium","D","Dark","L","Light")</f>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_xlfn.LET(_xlpm.val,_xlfn.XLOOKUP(C606,customers!$A$1:$A$1001,customers!$C$1:$C$1001,,0),IF(_xlpm.val=0,"",_xlpm.val))</f>
        <v/>
      </c>
      <c r="H606" s="2" t="str">
        <f>_xlfn.LET(_xlpm.val,_xlfn.XLOOKUP(C606,customers!$A$1:$A$1001,customers!$G$1:$G$1001,,0),IF(_xlpm.val=0,"",_xlpm.val))</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cm="1">
        <f t="array" ref="N606">_xlfn.SWITCH(I606,"rob","Robusta","exc","Excelsa","Ara","Arabica","Lib","Liberica","")</f>
        <v>Liberica</v>
      </c>
      <c r="O606" t="str" cm="1">
        <f t="array" ref="O606">_xlfn.SWITCH(J606,"M","Medium","D","Dark","L","Light")</f>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_xlfn.LET(_xlpm.val,_xlfn.XLOOKUP(C607,customers!$A$1:$A$1001,customers!$C$1:$C$1001,,0),IF(_xlpm.val=0,"",_xlpm.val))</f>
        <v>wpowleslandgt@soundcloud.com</v>
      </c>
      <c r="H607" s="2" t="str">
        <f>_xlfn.LET(_xlpm.val,_xlfn.XLOOKUP(C607,customers!$A$1:$A$1001,customers!$G$1:$G$1001,,0),IF(_xlpm.val=0,"",_xlpm.val))</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cm="1">
        <f t="array" ref="N607">_xlfn.SWITCH(I607,"rob","Robusta","exc","Excelsa","Ara","Arabica","Lib","Liberica","")</f>
        <v>Arabica</v>
      </c>
      <c r="O607" t="str" cm="1">
        <f t="array" ref="O607">_xlfn.SWITCH(J607,"M","Medium","D","Dark","L","Light")</f>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_xlfn.LET(_xlpm.val,_xlfn.XLOOKUP(C608,customers!$A$1:$A$1001,customers!$C$1:$C$1001,,0),IF(_xlpm.val=0,"",_xlpm.val))</f>
        <v>cverissimogh@theglobeandmail.com</v>
      </c>
      <c r="H608" s="2" t="str">
        <f>_xlfn.LET(_xlpm.val,_xlfn.XLOOKUP(C608,customers!$A$1:$A$1001,customers!$G$1:$G$1001,,0),IF(_xlpm.val=0,"",_xlpm.val))</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cm="1">
        <f t="array" ref="N608">_xlfn.SWITCH(I608,"rob","Robusta","exc","Excelsa","Ara","Arabica","Lib","Liberica","")</f>
        <v>Liberica</v>
      </c>
      <c r="O608" t="str" cm="1">
        <f t="array" ref="O608">_xlfn.SWITCH(J608,"M","Medium","D","Dark","L","Light")</f>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_xlfn.LET(_xlpm.val,_xlfn.XLOOKUP(C609,customers!$A$1:$A$1001,customers!$C$1:$C$1001,,0),IF(_xlpm.val=0,"",_xlpm.val))</f>
        <v>lellinghamgv@sciencedaily.com</v>
      </c>
      <c r="H609" s="2" t="str">
        <f>_xlfn.LET(_xlpm.val,_xlfn.XLOOKUP(C609,customers!$A$1:$A$1001,customers!$G$1:$G$1001,,0),IF(_xlpm.val=0,"",_xlpm.val))</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cm="1">
        <f t="array" ref="N609">_xlfn.SWITCH(I609,"rob","Robusta","exc","Excelsa","Ara","Arabica","Lib","Liberica","")</f>
        <v>Excelsa</v>
      </c>
      <c r="O609" t="str" cm="1">
        <f t="array" ref="O609">_xlfn.SWITCH(J609,"M","Medium","D","Dark","L","Light")</f>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_xlfn.LET(_xlpm.val,_xlfn.XLOOKUP(C610,customers!$A$1:$A$1001,customers!$C$1:$C$1001,,0),IF(_xlpm.val=0,"",_xlpm.val))</f>
        <v/>
      </c>
      <c r="H610" s="2" t="str">
        <f>_xlfn.LET(_xlpm.val,_xlfn.XLOOKUP(C610,customers!$A$1:$A$1001,customers!$G$1:$G$1001,,0),IF(_xlpm.val=0,"",_xlpm.val))</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cm="1">
        <f t="array" ref="N610">_xlfn.SWITCH(I610,"rob","Robusta","exc","Excelsa","Ara","Arabica","Lib","Liberica","")</f>
        <v>Excelsa</v>
      </c>
      <c r="O610" t="str" cm="1">
        <f t="array" ref="O610">_xlfn.SWITCH(J610,"M","Medium","D","Dark","L","Light")</f>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_xlfn.LET(_xlpm.val,_xlfn.XLOOKUP(C611,customers!$A$1:$A$1001,customers!$C$1:$C$1001,,0),IF(_xlpm.val=0,"",_xlpm.val))</f>
        <v>afendtgx@forbes.com</v>
      </c>
      <c r="H611" s="2" t="str">
        <f>_xlfn.LET(_xlpm.val,_xlfn.XLOOKUP(C611,customers!$A$1:$A$1001,customers!$G$1:$G$1001,,0),IF(_xlpm.val=0,"",_xlpm.val))</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cm="1">
        <f t="array" ref="N611">_xlfn.SWITCH(I611,"rob","Robusta","exc","Excelsa","Ara","Arabica","Lib","Liberica","")</f>
        <v>Liberica</v>
      </c>
      <c r="O611" t="str" cm="1">
        <f t="array" ref="O611">_xlfn.SWITCH(J611,"M","Medium","D","Dark","L","Light")</f>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_xlfn.LET(_xlpm.val,_xlfn.XLOOKUP(C612,customers!$A$1:$A$1001,customers!$C$1:$C$1001,,0),IF(_xlpm.val=0,"",_xlpm.val))</f>
        <v>acleyburngy@lycos.com</v>
      </c>
      <c r="H612" s="2" t="str">
        <f>_xlfn.LET(_xlpm.val,_xlfn.XLOOKUP(C612,customers!$A$1:$A$1001,customers!$G$1:$G$1001,,0),IF(_xlpm.val=0,"",_xlpm.val))</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cm="1">
        <f t="array" ref="N612">_xlfn.SWITCH(I612,"rob","Robusta","exc","Excelsa","Ara","Arabica","Lib","Liberica","")</f>
        <v>Robusta</v>
      </c>
      <c r="O612" t="str" cm="1">
        <f t="array" ref="O612">_xlfn.SWITCH(J612,"M","Medium","D","Dark","L","Light")</f>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_xlfn.LET(_xlpm.val,_xlfn.XLOOKUP(C613,customers!$A$1:$A$1001,customers!$C$1:$C$1001,,0),IF(_xlpm.val=0,"",_xlpm.val))</f>
        <v>tcastiglionegz@xing.com</v>
      </c>
      <c r="H613" s="2" t="str">
        <f>_xlfn.LET(_xlpm.val,_xlfn.XLOOKUP(C613,customers!$A$1:$A$1001,customers!$G$1:$G$1001,,0),IF(_xlpm.val=0,"",_xlpm.val))</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cm="1">
        <f t="array" ref="N613">_xlfn.SWITCH(I613,"rob","Robusta","exc","Excelsa","Ara","Arabica","Lib","Liberica","")</f>
        <v>Excelsa</v>
      </c>
      <c r="O613" t="str" cm="1">
        <f t="array" ref="O613">_xlfn.SWITCH(J613,"M","Medium","D","Dark","L","Light")</f>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_xlfn.LET(_xlpm.val,_xlfn.XLOOKUP(C614,customers!$A$1:$A$1001,customers!$C$1:$C$1001,,0),IF(_xlpm.val=0,"",_xlpm.val))</f>
        <v/>
      </c>
      <c r="H614" s="2" t="str">
        <f>_xlfn.LET(_xlpm.val,_xlfn.XLOOKUP(C614,customers!$A$1:$A$1001,customers!$G$1:$G$1001,,0),IF(_xlpm.val=0,"",_xlpm.val))</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cm="1">
        <f t="array" ref="N614">_xlfn.SWITCH(I614,"rob","Robusta","exc","Excelsa","Ara","Arabica","Lib","Liberica","")</f>
        <v>Arabica</v>
      </c>
      <c r="O614" t="str" cm="1">
        <f t="array" ref="O614">_xlfn.SWITCH(J614,"M","Medium","D","Dark","L","Light")</f>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_xlfn.LET(_xlpm.val,_xlfn.XLOOKUP(C615,customers!$A$1:$A$1001,customers!$C$1:$C$1001,,0),IF(_xlpm.val=0,"",_xlpm.val))</f>
        <v/>
      </c>
      <c r="H615" s="2" t="str">
        <f>_xlfn.LET(_xlpm.val,_xlfn.XLOOKUP(C615,customers!$A$1:$A$1001,customers!$G$1:$G$1001,,0),IF(_xlpm.val=0,"",_xlpm.val))</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cm="1">
        <f t="array" ref="N615">_xlfn.SWITCH(I615,"rob","Robusta","exc","Excelsa","Ara","Arabica","Lib","Liberica","")</f>
        <v>Robusta</v>
      </c>
      <c r="O615" t="str" cm="1">
        <f t="array" ref="O615">_xlfn.SWITCH(J615,"M","Medium","D","Dark","L","Light")</f>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_xlfn.LET(_xlpm.val,_xlfn.XLOOKUP(C616,customers!$A$1:$A$1001,customers!$C$1:$C$1001,,0),IF(_xlpm.val=0,"",_xlpm.val))</f>
        <v>cverissimogh@theglobeandmail.com</v>
      </c>
      <c r="H616" s="2" t="str">
        <f>_xlfn.LET(_xlpm.val,_xlfn.XLOOKUP(C616,customers!$A$1:$A$1001,customers!$G$1:$G$1001,,0),IF(_xlpm.val=0,"",_xlpm.val))</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cm="1">
        <f t="array" ref="N616">_xlfn.SWITCH(I616,"rob","Robusta","exc","Excelsa","Ara","Arabica","Lib","Liberica","")</f>
        <v>Robusta</v>
      </c>
      <c r="O616" t="str" cm="1">
        <f t="array" ref="O616">_xlfn.SWITCH(J616,"M","Medium","D","Dark","L","Light")</f>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_xlfn.LET(_xlpm.val,_xlfn.XLOOKUP(C617,customers!$A$1:$A$1001,customers!$C$1:$C$1001,,0),IF(_xlpm.val=0,"",_xlpm.val))</f>
        <v>scouronneh3@mozilla.org</v>
      </c>
      <c r="H617" s="2" t="str">
        <f>_xlfn.LET(_xlpm.val,_xlfn.XLOOKUP(C617,customers!$A$1:$A$1001,customers!$G$1:$G$1001,,0),IF(_xlpm.val=0,"",_xlpm.val))</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cm="1">
        <f t="array" ref="N617">_xlfn.SWITCH(I617,"rob","Robusta","exc","Excelsa","Ara","Arabica","Lib","Liberica","")</f>
        <v>Liberica</v>
      </c>
      <c r="O617" t="str" cm="1">
        <f t="array" ref="O617">_xlfn.SWITCH(J617,"M","Medium","D","Dark","L","Light")</f>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_xlfn.LET(_xlpm.val,_xlfn.XLOOKUP(C618,customers!$A$1:$A$1001,customers!$C$1:$C$1001,,0),IF(_xlpm.val=0,"",_xlpm.val))</f>
        <v>lflippellih4@github.io</v>
      </c>
      <c r="H618" s="2" t="str">
        <f>_xlfn.LET(_xlpm.val,_xlfn.XLOOKUP(C618,customers!$A$1:$A$1001,customers!$G$1:$G$1001,,0),IF(_xlpm.val=0,"",_xlpm.val))</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cm="1">
        <f t="array" ref="N618">_xlfn.SWITCH(I618,"rob","Robusta","exc","Excelsa","Ara","Arabica","Lib","Liberica","")</f>
        <v>Excelsa</v>
      </c>
      <c r="O618" t="str" cm="1">
        <f t="array" ref="O618">_xlfn.SWITCH(J618,"M","Medium","D","Dark","L","Light")</f>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_xlfn.LET(_xlpm.val,_xlfn.XLOOKUP(C619,customers!$A$1:$A$1001,customers!$C$1:$C$1001,,0),IF(_xlpm.val=0,"",_xlpm.val))</f>
        <v>relizabethh5@live.com</v>
      </c>
      <c r="H619" s="2" t="str">
        <f>_xlfn.LET(_xlpm.val,_xlfn.XLOOKUP(C619,customers!$A$1:$A$1001,customers!$G$1:$G$1001,,0),IF(_xlpm.val=0,"",_xlpm.val))</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cm="1">
        <f t="array" ref="N619">_xlfn.SWITCH(I619,"rob","Robusta","exc","Excelsa","Ara","Arabica","Lib","Liberica","")</f>
        <v>Liberica</v>
      </c>
      <c r="O619" t="str" cm="1">
        <f t="array" ref="O619">_xlfn.SWITCH(J619,"M","Medium","D","Dark","L","Light")</f>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_xlfn.LET(_xlpm.val,_xlfn.XLOOKUP(C620,customers!$A$1:$A$1001,customers!$C$1:$C$1001,,0),IF(_xlpm.val=0,"",_xlpm.val))</f>
        <v>irenhardh6@i2i.jp</v>
      </c>
      <c r="H620" s="2" t="str">
        <f>_xlfn.LET(_xlpm.val,_xlfn.XLOOKUP(C620,customers!$A$1:$A$1001,customers!$G$1:$G$1001,,0),IF(_xlpm.val=0,"",_xlpm.val))</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cm="1">
        <f t="array" ref="N620">_xlfn.SWITCH(I620,"rob","Robusta","exc","Excelsa","Ara","Arabica","Lib","Liberica","")</f>
        <v>Excelsa</v>
      </c>
      <c r="O620" t="str" cm="1">
        <f t="array" ref="O620">_xlfn.SWITCH(J620,"M","Medium","D","Dark","L","Light")</f>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_xlfn.LET(_xlpm.val,_xlfn.XLOOKUP(C621,customers!$A$1:$A$1001,customers!$C$1:$C$1001,,0),IF(_xlpm.val=0,"",_xlpm.val))</f>
        <v>wrocheh7@xinhuanet.com</v>
      </c>
      <c r="H621" s="2" t="str">
        <f>_xlfn.LET(_xlpm.val,_xlfn.XLOOKUP(C621,customers!$A$1:$A$1001,customers!$G$1:$G$1001,,0),IF(_xlpm.val=0,"",_xlpm.val))</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cm="1">
        <f t="array" ref="N621">_xlfn.SWITCH(I621,"rob","Robusta","exc","Excelsa","Ara","Arabica","Lib","Liberica","")</f>
        <v>Liberica</v>
      </c>
      <c r="O621" t="str" cm="1">
        <f t="array" ref="O621">_xlfn.SWITCH(J621,"M","Medium","D","Dark","L","Light")</f>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_xlfn.LET(_xlpm.val,_xlfn.XLOOKUP(C622,customers!$A$1:$A$1001,customers!$C$1:$C$1001,,0),IF(_xlpm.val=0,"",_xlpm.val))</f>
        <v>lalawayhh@weather.com</v>
      </c>
      <c r="H622" s="2" t="str">
        <f>_xlfn.LET(_xlpm.val,_xlfn.XLOOKUP(C622,customers!$A$1:$A$1001,customers!$G$1:$G$1001,,0),IF(_xlpm.val=0,"",_xlpm.val))</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cm="1">
        <f t="array" ref="N622">_xlfn.SWITCH(I622,"rob","Robusta","exc","Excelsa","Ara","Arabica","Lib","Liberica","")</f>
        <v>Arabica</v>
      </c>
      <c r="O622" t="str" cm="1">
        <f t="array" ref="O622">_xlfn.SWITCH(J622,"M","Medium","D","Dark","L","Light")</f>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_xlfn.LET(_xlpm.val,_xlfn.XLOOKUP(C623,customers!$A$1:$A$1001,customers!$C$1:$C$1001,,0),IF(_xlpm.val=0,"",_xlpm.val))</f>
        <v>codgaardh9@nsw.gov.au</v>
      </c>
      <c r="H623" s="2" t="str">
        <f>_xlfn.LET(_xlpm.val,_xlfn.XLOOKUP(C623,customers!$A$1:$A$1001,customers!$G$1:$G$1001,,0),IF(_xlpm.val=0,"",_xlpm.val))</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cm="1">
        <f t="array" ref="N623">_xlfn.SWITCH(I623,"rob","Robusta","exc","Excelsa","Ara","Arabica","Lib","Liberica","")</f>
        <v>Arabica</v>
      </c>
      <c r="O623" t="str" cm="1">
        <f t="array" ref="O623">_xlfn.SWITCH(J623,"M","Medium","D","Dark","L","Light")</f>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_xlfn.LET(_xlpm.val,_xlfn.XLOOKUP(C624,customers!$A$1:$A$1001,customers!$C$1:$C$1001,,0),IF(_xlpm.val=0,"",_xlpm.val))</f>
        <v>bbyrdha@4shared.com</v>
      </c>
      <c r="H624" s="2" t="str">
        <f>_xlfn.LET(_xlpm.val,_xlfn.XLOOKUP(C624,customers!$A$1:$A$1001,customers!$G$1:$G$1001,,0),IF(_xlpm.val=0,"",_xlpm.val))</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cm="1">
        <f t="array" ref="N624">_xlfn.SWITCH(I624,"rob","Robusta","exc","Excelsa","Ara","Arabica","Lib","Liberica","")</f>
        <v>Liberica</v>
      </c>
      <c r="O624" t="str" cm="1">
        <f t="array" ref="O624">_xlfn.SWITCH(J624,"M","Medium","D","Dark","L","Light")</f>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_xlfn.LET(_xlpm.val,_xlfn.XLOOKUP(C625,customers!$A$1:$A$1001,customers!$C$1:$C$1001,,0),IF(_xlpm.val=0,"",_xlpm.val))</f>
        <v/>
      </c>
      <c r="H625" s="2" t="str">
        <f>_xlfn.LET(_xlpm.val,_xlfn.XLOOKUP(C625,customers!$A$1:$A$1001,customers!$G$1:$G$1001,,0),IF(_xlpm.val=0,"",_xlpm.val))</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cm="1">
        <f t="array" ref="N625">_xlfn.SWITCH(I625,"rob","Robusta","exc","Excelsa","Ara","Arabica","Lib","Liberica","")</f>
        <v>Excelsa</v>
      </c>
      <c r="O625" t="str" cm="1">
        <f t="array" ref="O625">_xlfn.SWITCH(J625,"M","Medium","D","Dark","L","Light")</f>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_xlfn.LET(_xlpm.val,_xlfn.XLOOKUP(C626,customers!$A$1:$A$1001,customers!$C$1:$C$1001,,0),IF(_xlpm.val=0,"",_xlpm.val))</f>
        <v>dchardinhc@nhs.uk</v>
      </c>
      <c r="H626" s="2" t="str">
        <f>_xlfn.LET(_xlpm.val,_xlfn.XLOOKUP(C626,customers!$A$1:$A$1001,customers!$G$1:$G$1001,,0),IF(_xlpm.val=0,"",_xlpm.val))</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cm="1">
        <f t="array" ref="N626">_xlfn.SWITCH(I626,"rob","Robusta","exc","Excelsa","Ara","Arabica","Lib","Liberica","")</f>
        <v>Excelsa</v>
      </c>
      <c r="O626" t="str" cm="1">
        <f t="array" ref="O626">_xlfn.SWITCH(J626,"M","Medium","D","Dark","L","Light")</f>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_xlfn.LET(_xlpm.val,_xlfn.XLOOKUP(C627,customers!$A$1:$A$1001,customers!$C$1:$C$1001,,0),IF(_xlpm.val=0,"",_xlpm.val))</f>
        <v>hradbonehd@newsvine.com</v>
      </c>
      <c r="H627" s="2" t="str">
        <f>_xlfn.LET(_xlpm.val,_xlfn.XLOOKUP(C627,customers!$A$1:$A$1001,customers!$G$1:$G$1001,,0),IF(_xlpm.val=0,"",_xlpm.val))</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cm="1">
        <f t="array" ref="N627">_xlfn.SWITCH(I627,"rob","Robusta","exc","Excelsa","Ara","Arabica","Lib","Liberica","")</f>
        <v>Robusta</v>
      </c>
      <c r="O627" t="str" cm="1">
        <f t="array" ref="O627">_xlfn.SWITCH(J627,"M","Medium","D","Dark","L","Light")</f>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_xlfn.LET(_xlpm.val,_xlfn.XLOOKUP(C628,customers!$A$1:$A$1001,customers!$C$1:$C$1001,,0),IF(_xlpm.val=0,"",_xlpm.val))</f>
        <v>wbernthhe@miitbeian.gov.cn</v>
      </c>
      <c r="H628" s="2" t="str">
        <f>_xlfn.LET(_xlpm.val,_xlfn.XLOOKUP(C628,customers!$A$1:$A$1001,customers!$G$1:$G$1001,,0),IF(_xlpm.val=0,"",_xlpm.val))</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cm="1">
        <f t="array" ref="N628">_xlfn.SWITCH(I628,"rob","Robusta","exc","Excelsa","Ara","Arabica","Lib","Liberica","")</f>
        <v>Arabica</v>
      </c>
      <c r="O628" t="str" cm="1">
        <f t="array" ref="O628">_xlfn.SWITCH(J628,"M","Medium","D","Dark","L","Light")</f>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_xlfn.LET(_xlpm.val,_xlfn.XLOOKUP(C629,customers!$A$1:$A$1001,customers!$C$1:$C$1001,,0),IF(_xlpm.val=0,"",_xlpm.val))</f>
        <v>bacarsonhf@cnn.com</v>
      </c>
      <c r="H629" s="2" t="str">
        <f>_xlfn.LET(_xlpm.val,_xlfn.XLOOKUP(C629,customers!$A$1:$A$1001,customers!$G$1:$G$1001,,0),IF(_xlpm.val=0,"",_xlpm.val))</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cm="1">
        <f t="array" ref="N629">_xlfn.SWITCH(I629,"rob","Robusta","exc","Excelsa","Ara","Arabica","Lib","Liberica","")</f>
        <v>Excelsa</v>
      </c>
      <c r="O629" t="str" cm="1">
        <f t="array" ref="O629">_xlfn.SWITCH(J629,"M","Medium","D","Dark","L","Light")</f>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_xlfn.LET(_xlpm.val,_xlfn.XLOOKUP(C630,customers!$A$1:$A$1001,customers!$C$1:$C$1001,,0),IF(_xlpm.val=0,"",_xlpm.val))</f>
        <v>fbrighamhg@blog.com</v>
      </c>
      <c r="H630" s="2" t="str">
        <f>_xlfn.LET(_xlpm.val,_xlfn.XLOOKUP(C630,customers!$A$1:$A$1001,customers!$G$1:$G$1001,,0),IF(_xlpm.val=0,"",_xlpm.val))</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cm="1">
        <f t="array" ref="N630">_xlfn.SWITCH(I630,"rob","Robusta","exc","Excelsa","Ara","Arabica","Lib","Liberica","")</f>
        <v>Excelsa</v>
      </c>
      <c r="O630" t="str" cm="1">
        <f t="array" ref="O630">_xlfn.SWITCH(J630,"M","Medium","D","Dark","L","Light")</f>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_xlfn.LET(_xlpm.val,_xlfn.XLOOKUP(C631,customers!$A$1:$A$1001,customers!$C$1:$C$1001,,0),IF(_xlpm.val=0,"",_xlpm.val))</f>
        <v>fbrighamhg@blog.com</v>
      </c>
      <c r="H631" s="2" t="str">
        <f>_xlfn.LET(_xlpm.val,_xlfn.XLOOKUP(C631,customers!$A$1:$A$1001,customers!$G$1:$G$1001,,0),IF(_xlpm.val=0,"",_xlpm.val))</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cm="1">
        <f t="array" ref="N631">_xlfn.SWITCH(I631,"rob","Robusta","exc","Excelsa","Ara","Arabica","Lib","Liberica","")</f>
        <v>Liberica</v>
      </c>
      <c r="O631" t="str" cm="1">
        <f t="array" ref="O631">_xlfn.SWITCH(J631,"M","Medium","D","Dark","L","Light")</f>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_xlfn.LET(_xlpm.val,_xlfn.XLOOKUP(C632,customers!$A$1:$A$1001,customers!$C$1:$C$1001,,0),IF(_xlpm.val=0,"",_xlpm.val))</f>
        <v>fbrighamhg@blog.com</v>
      </c>
      <c r="H632" s="2" t="str">
        <f>_xlfn.LET(_xlpm.val,_xlfn.XLOOKUP(C632,customers!$A$1:$A$1001,customers!$G$1:$G$1001,,0),IF(_xlpm.val=0,"",_xlpm.val))</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cm="1">
        <f t="array" ref="N632">_xlfn.SWITCH(I632,"rob","Robusta","exc","Excelsa","Ara","Arabica","Lib","Liberica","")</f>
        <v>Arabica</v>
      </c>
      <c r="O632" t="str" cm="1">
        <f t="array" ref="O632">_xlfn.SWITCH(J632,"M","Medium","D","Dark","L","Light")</f>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_xlfn.LET(_xlpm.val,_xlfn.XLOOKUP(C633,customers!$A$1:$A$1001,customers!$C$1:$C$1001,,0),IF(_xlpm.val=0,"",_xlpm.val))</f>
        <v>fbrighamhg@blog.com</v>
      </c>
      <c r="H633" s="2" t="str">
        <f>_xlfn.LET(_xlpm.val,_xlfn.XLOOKUP(C633,customers!$A$1:$A$1001,customers!$G$1:$G$1001,,0),IF(_xlpm.val=0,"",_xlpm.val))</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cm="1">
        <f t="array" ref="N633">_xlfn.SWITCH(I633,"rob","Robusta","exc","Excelsa","Ara","Arabica","Lib","Liberica","")</f>
        <v>Robusta</v>
      </c>
      <c r="O633" t="str" cm="1">
        <f t="array" ref="O633">_xlfn.SWITCH(J633,"M","Medium","D","Dark","L","Light")</f>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_xlfn.LET(_xlpm.val,_xlfn.XLOOKUP(C634,customers!$A$1:$A$1001,customers!$C$1:$C$1001,,0),IF(_xlpm.val=0,"",_xlpm.val))</f>
        <v>myoxenhk@google.com</v>
      </c>
      <c r="H634" s="2" t="str">
        <f>_xlfn.LET(_xlpm.val,_xlfn.XLOOKUP(C634,customers!$A$1:$A$1001,customers!$G$1:$G$1001,,0),IF(_xlpm.val=0,"",_xlpm.val))</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cm="1">
        <f t="array" ref="N634">_xlfn.SWITCH(I634,"rob","Robusta","exc","Excelsa","Ara","Arabica","Lib","Liberica","")</f>
        <v>Excelsa</v>
      </c>
      <c r="O634" t="str" cm="1">
        <f t="array" ref="O634">_xlfn.SWITCH(J634,"M","Medium","D","Dark","L","Light")</f>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_xlfn.LET(_xlpm.val,_xlfn.XLOOKUP(C635,customers!$A$1:$A$1001,customers!$C$1:$C$1001,,0),IF(_xlpm.val=0,"",_xlpm.val))</f>
        <v>gmcgavinhl@histats.com</v>
      </c>
      <c r="H635" s="2" t="str">
        <f>_xlfn.LET(_xlpm.val,_xlfn.XLOOKUP(C635,customers!$A$1:$A$1001,customers!$G$1:$G$1001,,0),IF(_xlpm.val=0,"",_xlpm.val))</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cm="1">
        <f t="array" ref="N635">_xlfn.SWITCH(I635,"rob","Robusta","exc","Excelsa","Ara","Arabica","Lib","Liberica","")</f>
        <v>Robusta</v>
      </c>
      <c r="O635" t="str" cm="1">
        <f t="array" ref="O635">_xlfn.SWITCH(J635,"M","Medium","D","Dark","L","Light")</f>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_xlfn.LET(_xlpm.val,_xlfn.XLOOKUP(C636,customers!$A$1:$A$1001,customers!$C$1:$C$1001,,0),IF(_xlpm.val=0,"",_xlpm.val))</f>
        <v>luttermarehm@engadget.com</v>
      </c>
      <c r="H636" s="2" t="str">
        <f>_xlfn.LET(_xlpm.val,_xlfn.XLOOKUP(C636,customers!$A$1:$A$1001,customers!$G$1:$G$1001,,0),IF(_xlpm.val=0,"",_xlpm.val))</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cm="1">
        <f t="array" ref="N636">_xlfn.SWITCH(I636,"rob","Robusta","exc","Excelsa","Ara","Arabica","Lib","Liberica","")</f>
        <v>Liberica</v>
      </c>
      <c r="O636" t="str" cm="1">
        <f t="array" ref="O636">_xlfn.SWITCH(J636,"M","Medium","D","Dark","L","Light")</f>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_xlfn.LET(_xlpm.val,_xlfn.XLOOKUP(C637,customers!$A$1:$A$1001,customers!$C$1:$C$1001,,0),IF(_xlpm.val=0,"",_xlpm.val))</f>
        <v>edambrogiohn@techcrunch.com</v>
      </c>
      <c r="H637" s="2" t="str">
        <f>_xlfn.LET(_xlpm.val,_xlfn.XLOOKUP(C637,customers!$A$1:$A$1001,customers!$G$1:$G$1001,,0),IF(_xlpm.val=0,"",_xlpm.val))</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cm="1">
        <f t="array" ref="N637">_xlfn.SWITCH(I637,"rob","Robusta","exc","Excelsa","Ara","Arabica","Lib","Liberica","")</f>
        <v>Excelsa</v>
      </c>
      <c r="O637" t="str" cm="1">
        <f t="array" ref="O637">_xlfn.SWITCH(J637,"M","Medium","D","Dark","L","Light")</f>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_xlfn.LET(_xlpm.val,_xlfn.XLOOKUP(C638,customers!$A$1:$A$1001,customers!$C$1:$C$1001,,0),IF(_xlpm.val=0,"",_xlpm.val))</f>
        <v>cwinchcombeho@jiathis.com</v>
      </c>
      <c r="H638" s="2" t="str">
        <f>_xlfn.LET(_xlpm.val,_xlfn.XLOOKUP(C638,customers!$A$1:$A$1001,customers!$G$1:$G$1001,,0),IF(_xlpm.val=0,"",_xlpm.val))</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cm="1">
        <f t="array" ref="N638">_xlfn.SWITCH(I638,"rob","Robusta","exc","Excelsa","Ara","Arabica","Lib","Liberica","")</f>
        <v>Liberica</v>
      </c>
      <c r="O638" t="str" cm="1">
        <f t="array" ref="O638">_xlfn.SWITCH(J638,"M","Medium","D","Dark","L","Light")</f>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_xlfn.LET(_xlpm.val,_xlfn.XLOOKUP(C639,customers!$A$1:$A$1001,customers!$C$1:$C$1001,,0),IF(_xlpm.val=0,"",_xlpm.val))</f>
        <v>bpaumierhp@umn.edu</v>
      </c>
      <c r="H639" s="2" t="str">
        <f>_xlfn.LET(_xlpm.val,_xlfn.XLOOKUP(C639,customers!$A$1:$A$1001,customers!$G$1:$G$1001,,0),IF(_xlpm.val=0,"",_xlpm.val))</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cm="1">
        <f t="array" ref="N639">_xlfn.SWITCH(I639,"rob","Robusta","exc","Excelsa","Ara","Arabica","Lib","Liberica","")</f>
        <v>Excelsa</v>
      </c>
      <c r="O639" t="str" cm="1">
        <f t="array" ref="O639">_xlfn.SWITCH(J639,"M","Medium","D","Dark","L","Light")</f>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_xlfn.LET(_xlpm.val,_xlfn.XLOOKUP(C640,customers!$A$1:$A$1001,customers!$C$1:$C$1001,,0),IF(_xlpm.val=0,"",_xlpm.val))</f>
        <v/>
      </c>
      <c r="H640" s="2" t="str">
        <f>_xlfn.LET(_xlpm.val,_xlfn.XLOOKUP(C640,customers!$A$1:$A$1001,customers!$G$1:$G$1001,,0),IF(_xlpm.val=0,"",_xlpm.val))</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cm="1">
        <f t="array" ref="N640">_xlfn.SWITCH(I640,"rob","Robusta","exc","Excelsa","Ara","Arabica","Lib","Liberica","")</f>
        <v>Arabica</v>
      </c>
      <c r="O640" t="str" cm="1">
        <f t="array" ref="O640">_xlfn.SWITCH(J640,"M","Medium","D","Dark","L","Light")</f>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_xlfn.LET(_xlpm.val,_xlfn.XLOOKUP(C641,customers!$A$1:$A$1001,customers!$C$1:$C$1001,,0),IF(_xlpm.val=0,"",_xlpm.val))</f>
        <v>jcapeyhr@bravesites.com</v>
      </c>
      <c r="H641" s="2" t="str">
        <f>_xlfn.LET(_xlpm.val,_xlfn.XLOOKUP(C641,customers!$A$1:$A$1001,customers!$G$1:$G$1001,,0),IF(_xlpm.val=0,"",_xlpm.val))</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cm="1">
        <f t="array" ref="N641">_xlfn.SWITCH(I641,"rob","Robusta","exc","Excelsa","Ara","Arabica","Lib","Liberica","")</f>
        <v>Liberica</v>
      </c>
      <c r="O641" t="str" cm="1">
        <f t="array" ref="O641">_xlfn.SWITCH(J641,"M","Medium","D","Dark","L","Light")</f>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_xlfn.LET(_xlpm.val,_xlfn.XLOOKUP(C642,customers!$A$1:$A$1001,customers!$C$1:$C$1001,,0),IF(_xlpm.val=0,"",_xlpm.val))</f>
        <v>tmathonneti0@google.co.jp</v>
      </c>
      <c r="H642" s="2" t="str">
        <f>_xlfn.LET(_xlpm.val,_xlfn.XLOOKUP(C642,customers!$A$1:$A$1001,customers!$G$1:$G$1001,,0),IF(_xlpm.val=0,"",_xlpm.val))</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cm="1">
        <f t="array" ref="N642">_xlfn.SWITCH(I642,"rob","Robusta","exc","Excelsa","Ara","Arabica","Lib","Liberica","")</f>
        <v>Robusta</v>
      </c>
      <c r="O642" t="str" cm="1">
        <f t="array" ref="O642">_xlfn.SWITCH(J642,"M","Medium","D","Dark","L","Light")</f>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_xlfn.LET(_xlpm.val,_xlfn.XLOOKUP(C643,customers!$A$1:$A$1001,customers!$C$1:$C$1001,,0),IF(_xlpm.val=0,"",_xlpm.val))</f>
        <v>ybasillht@theguardian.com</v>
      </c>
      <c r="H643" s="2" t="str">
        <f>_xlfn.LET(_xlpm.val,_xlfn.XLOOKUP(C643,customers!$A$1:$A$1001,customers!$G$1:$G$1001,,0),IF(_xlpm.val=0,"",_xlpm.val))</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L643*E643</f>
        <v>35.849999999999994</v>
      </c>
      <c r="N643" t="str" cm="1">
        <f t="array" ref="N643">_xlfn.SWITCH(I643,"rob","Robusta","exc","Excelsa","Ara","Arabica","Lib","Liberica","")</f>
        <v>Robusta</v>
      </c>
      <c r="O643" t="str" cm="1">
        <f t="array" ref="O643">_xlfn.SWITCH(J643,"M","Medium","D","Dark","L","Light")</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_xlfn.LET(_xlpm.val,_xlfn.XLOOKUP(C644,customers!$A$1:$A$1001,customers!$C$1:$C$1001,,0),IF(_xlpm.val=0,"",_xlpm.val))</f>
        <v>mbaistowhu@i2i.jp</v>
      </c>
      <c r="H644" s="2" t="str">
        <f>_xlfn.LET(_xlpm.val,_xlfn.XLOOKUP(C644,customers!$A$1:$A$1001,customers!$G$1:$G$1001,,0),IF(_xlpm.val=0,"",_xlpm.val))</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cm="1">
        <f t="array" ref="N644">_xlfn.SWITCH(I644,"rob","Robusta","exc","Excelsa","Ara","Arabica","Lib","Liberica","")</f>
        <v>Excelsa</v>
      </c>
      <c r="O644" t="str" cm="1">
        <f t="array" ref="O644">_xlfn.SWITCH(J644,"M","Medium","D","Dark","L","Light")</f>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_xlfn.LET(_xlpm.val,_xlfn.XLOOKUP(C645,customers!$A$1:$A$1001,customers!$C$1:$C$1001,,0),IF(_xlpm.val=0,"",_xlpm.val))</f>
        <v>cpallanthv@typepad.com</v>
      </c>
      <c r="H645" s="2" t="str">
        <f>_xlfn.LET(_xlpm.val,_xlfn.XLOOKUP(C645,customers!$A$1:$A$1001,customers!$G$1:$G$1001,,0),IF(_xlpm.val=0,"",_xlpm.val))</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cm="1">
        <f t="array" ref="N645">_xlfn.SWITCH(I645,"rob","Robusta","exc","Excelsa","Ara","Arabica","Lib","Liberica","")</f>
        <v>Excelsa</v>
      </c>
      <c r="O645" t="str" cm="1">
        <f t="array" ref="O645">_xlfn.SWITCH(J645,"M","Medium","D","Dark","L","Light")</f>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_xlfn.LET(_xlpm.val,_xlfn.XLOOKUP(C646,customers!$A$1:$A$1001,customers!$C$1:$C$1001,,0),IF(_xlpm.val=0,"",_xlpm.val))</f>
        <v/>
      </c>
      <c r="H646" s="2" t="str">
        <f>_xlfn.LET(_xlpm.val,_xlfn.XLOOKUP(C646,customers!$A$1:$A$1001,customers!$G$1:$G$1001,,0),IF(_xlpm.val=0,"",_xlpm.val))</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cm="1">
        <f t="array" ref="N646">_xlfn.SWITCH(I646,"rob","Robusta","exc","Excelsa","Ara","Arabica","Lib","Liberica","")</f>
        <v>Robusta</v>
      </c>
      <c r="O646" t="str" cm="1">
        <f t="array" ref="O646">_xlfn.SWITCH(J646,"M","Medium","D","Dark","L","Light")</f>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_xlfn.LET(_xlpm.val,_xlfn.XLOOKUP(C647,customers!$A$1:$A$1001,customers!$C$1:$C$1001,,0),IF(_xlpm.val=0,"",_xlpm.val))</f>
        <v>dohx@redcross.org</v>
      </c>
      <c r="H647" s="2" t="str">
        <f>_xlfn.LET(_xlpm.val,_xlfn.XLOOKUP(C647,customers!$A$1:$A$1001,customers!$G$1:$G$1001,,0),IF(_xlpm.val=0,"",_xlpm.val))</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cm="1">
        <f t="array" ref="N647">_xlfn.SWITCH(I647,"rob","Robusta","exc","Excelsa","Ara","Arabica","Lib","Liberica","")</f>
        <v>Arabica</v>
      </c>
      <c r="O647" t="str" cm="1">
        <f t="array" ref="O647">_xlfn.SWITCH(J647,"M","Medium","D","Dark","L","Light")</f>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_xlfn.LET(_xlpm.val,_xlfn.XLOOKUP(C648,customers!$A$1:$A$1001,customers!$C$1:$C$1001,,0),IF(_xlpm.val=0,"",_xlpm.val))</f>
        <v>drallinhy@howstuffworks.com</v>
      </c>
      <c r="H648" s="2" t="str">
        <f>_xlfn.LET(_xlpm.val,_xlfn.XLOOKUP(C648,customers!$A$1:$A$1001,customers!$G$1:$G$1001,,0),IF(_xlpm.val=0,"",_xlpm.val))</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cm="1">
        <f t="array" ref="N648">_xlfn.SWITCH(I648,"rob","Robusta","exc","Excelsa","Ara","Arabica","Lib","Liberica","")</f>
        <v>Arabica</v>
      </c>
      <c r="O648" t="str" cm="1">
        <f t="array" ref="O648">_xlfn.SWITCH(J648,"M","Medium","D","Dark","L","Light")</f>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_xlfn.LET(_xlpm.val,_xlfn.XLOOKUP(C649,customers!$A$1:$A$1001,customers!$C$1:$C$1001,,0),IF(_xlpm.val=0,"",_xlpm.val))</f>
        <v>achillhz@epa.gov</v>
      </c>
      <c r="H649" s="2" t="str">
        <f>_xlfn.LET(_xlpm.val,_xlfn.XLOOKUP(C649,customers!$A$1:$A$1001,customers!$G$1:$G$1001,,0),IF(_xlpm.val=0,"",_xlpm.val))</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cm="1">
        <f t="array" ref="N649">_xlfn.SWITCH(I649,"rob","Robusta","exc","Excelsa","Ara","Arabica","Lib","Liberica","")</f>
        <v>Liberica</v>
      </c>
      <c r="O649" t="str" cm="1">
        <f t="array" ref="O649">_xlfn.SWITCH(J649,"M","Medium","D","Dark","L","Light")</f>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_xlfn.LET(_xlpm.val,_xlfn.XLOOKUP(C650,customers!$A$1:$A$1001,customers!$C$1:$C$1001,,0),IF(_xlpm.val=0,"",_xlpm.val))</f>
        <v>tmathonneti0@google.co.jp</v>
      </c>
      <c r="H650" s="2" t="str">
        <f>_xlfn.LET(_xlpm.val,_xlfn.XLOOKUP(C650,customers!$A$1:$A$1001,customers!$G$1:$G$1001,,0),IF(_xlpm.val=0,"",_xlpm.val))</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cm="1">
        <f t="array" ref="N650">_xlfn.SWITCH(I650,"rob","Robusta","exc","Excelsa","Ara","Arabica","Lib","Liberica","")</f>
        <v>Robusta</v>
      </c>
      <c r="O650" t="str" cm="1">
        <f t="array" ref="O650">_xlfn.SWITCH(J650,"M","Medium","D","Dark","L","Light")</f>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_xlfn.LET(_xlpm.val,_xlfn.XLOOKUP(C651,customers!$A$1:$A$1001,customers!$C$1:$C$1001,,0),IF(_xlpm.val=0,"",_xlpm.val))</f>
        <v>cdenysi1@is.gd</v>
      </c>
      <c r="H651" s="2" t="str">
        <f>_xlfn.LET(_xlpm.val,_xlfn.XLOOKUP(C651,customers!$A$1:$A$1001,customers!$G$1:$G$1001,,0),IF(_xlpm.val=0,"",_xlpm.val))</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cm="1">
        <f t="array" ref="N651">_xlfn.SWITCH(I651,"rob","Robusta","exc","Excelsa","Ara","Arabica","Lib","Liberica","")</f>
        <v>Liberica</v>
      </c>
      <c r="O651" t="str" cm="1">
        <f t="array" ref="O651">_xlfn.SWITCH(J651,"M","Medium","D","Dark","L","Light")</f>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_xlfn.LET(_xlpm.val,_xlfn.XLOOKUP(C652,customers!$A$1:$A$1001,customers!$C$1:$C$1001,,0),IF(_xlpm.val=0,"",_xlpm.val))</f>
        <v>cstebbingsi2@drupal.org</v>
      </c>
      <c r="H652" s="2" t="str">
        <f>_xlfn.LET(_xlpm.val,_xlfn.XLOOKUP(C652,customers!$A$1:$A$1001,customers!$G$1:$G$1001,,0),IF(_xlpm.val=0,"",_xlpm.val))</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cm="1">
        <f t="array" ref="N652">_xlfn.SWITCH(I652,"rob","Robusta","exc","Excelsa","Ara","Arabica","Lib","Liberica","")</f>
        <v>Robusta</v>
      </c>
      <c r="O652" t="str" cm="1">
        <f t="array" ref="O652">_xlfn.SWITCH(J652,"M","Medium","D","Dark","L","Light")</f>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_xlfn.LET(_xlpm.val,_xlfn.XLOOKUP(C653,customers!$A$1:$A$1001,customers!$C$1:$C$1001,,0),IF(_xlpm.val=0,"",_xlpm.val))</f>
        <v/>
      </c>
      <c r="H653" s="2" t="str">
        <f>_xlfn.LET(_xlpm.val,_xlfn.XLOOKUP(C653,customers!$A$1:$A$1001,customers!$G$1:$G$1001,,0),IF(_xlpm.val=0,"",_xlpm.val))</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cm="1">
        <f t="array" ref="N653">_xlfn.SWITCH(I653,"rob","Robusta","exc","Excelsa","Ara","Arabica","Lib","Liberica","")</f>
        <v>Robusta</v>
      </c>
      <c r="O653" t="str" cm="1">
        <f t="array" ref="O653">_xlfn.SWITCH(J653,"M","Medium","D","Dark","L","Light")</f>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_xlfn.LET(_xlpm.val,_xlfn.XLOOKUP(C654,customers!$A$1:$A$1001,customers!$C$1:$C$1001,,0),IF(_xlpm.val=0,"",_xlpm.val))</f>
        <v>rzywickii4@ifeng.com</v>
      </c>
      <c r="H654" s="2" t="str">
        <f>_xlfn.LET(_xlpm.val,_xlfn.XLOOKUP(C654,customers!$A$1:$A$1001,customers!$G$1:$G$1001,,0),IF(_xlpm.val=0,"",_xlpm.val))</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cm="1">
        <f t="array" ref="N654">_xlfn.SWITCH(I654,"rob","Robusta","exc","Excelsa","Ara","Arabica","Lib","Liberica","")</f>
        <v>Liberica</v>
      </c>
      <c r="O654" t="str" cm="1">
        <f t="array" ref="O654">_xlfn.SWITCH(J654,"M","Medium","D","Dark","L","Light")</f>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_xlfn.LET(_xlpm.val,_xlfn.XLOOKUP(C655,customers!$A$1:$A$1001,customers!$C$1:$C$1001,,0),IF(_xlpm.val=0,"",_xlpm.val))</f>
        <v>aburgetti5@moonfruit.com</v>
      </c>
      <c r="H655" s="2" t="str">
        <f>_xlfn.LET(_xlpm.val,_xlfn.XLOOKUP(C655,customers!$A$1:$A$1001,customers!$G$1:$G$1001,,0),IF(_xlpm.val=0,"",_xlpm.val))</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cm="1">
        <f t="array" ref="N655">_xlfn.SWITCH(I655,"rob","Robusta","exc","Excelsa","Ara","Arabica","Lib","Liberica","")</f>
        <v>Arabica</v>
      </c>
      <c r="O655" t="str" cm="1">
        <f t="array" ref="O655">_xlfn.SWITCH(J655,"M","Medium","D","Dark","L","Light")</f>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_xlfn.LET(_xlpm.val,_xlfn.XLOOKUP(C656,customers!$A$1:$A$1001,customers!$C$1:$C$1001,,0),IF(_xlpm.val=0,"",_xlpm.val))</f>
        <v>mmalloyi6@seattletimes.com</v>
      </c>
      <c r="H656" s="2" t="str">
        <f>_xlfn.LET(_xlpm.val,_xlfn.XLOOKUP(C656,customers!$A$1:$A$1001,customers!$G$1:$G$1001,,0),IF(_xlpm.val=0,"",_xlpm.val))</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cm="1">
        <f t="array" ref="N656">_xlfn.SWITCH(I656,"rob","Robusta","exc","Excelsa","Ara","Arabica","Lib","Liberica","")</f>
        <v>Arabica</v>
      </c>
      <c r="O656" t="str" cm="1">
        <f t="array" ref="O656">_xlfn.SWITCH(J656,"M","Medium","D","Dark","L","Light")</f>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_xlfn.LET(_xlpm.val,_xlfn.XLOOKUP(C657,customers!$A$1:$A$1001,customers!$C$1:$C$1001,,0),IF(_xlpm.val=0,"",_xlpm.val))</f>
        <v>mmcparlandi7@w3.org</v>
      </c>
      <c r="H657" s="2" t="str">
        <f>_xlfn.LET(_xlpm.val,_xlfn.XLOOKUP(C657,customers!$A$1:$A$1001,customers!$G$1:$G$1001,,0),IF(_xlpm.val=0,"",_xlpm.val))</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cm="1">
        <f t="array" ref="N657">_xlfn.SWITCH(I657,"rob","Robusta","exc","Excelsa","Ara","Arabica","Lib","Liberica","")</f>
        <v>Robusta</v>
      </c>
      <c r="O657" t="str" cm="1">
        <f t="array" ref="O657">_xlfn.SWITCH(J657,"M","Medium","D","Dark","L","Light")</f>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_xlfn.LET(_xlpm.val,_xlfn.XLOOKUP(C658,customers!$A$1:$A$1001,customers!$C$1:$C$1001,,0),IF(_xlpm.val=0,"",_xlpm.val))</f>
        <v>sjennaroyi8@purevolume.com</v>
      </c>
      <c r="H658" s="2" t="str">
        <f>_xlfn.LET(_xlpm.val,_xlfn.XLOOKUP(C658,customers!$A$1:$A$1001,customers!$G$1:$G$1001,,0),IF(_xlpm.val=0,"",_xlpm.val))</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cm="1">
        <f t="array" ref="N658">_xlfn.SWITCH(I658,"rob","Robusta","exc","Excelsa","Ara","Arabica","Lib","Liberica","")</f>
        <v>Liberica</v>
      </c>
      <c r="O658" t="str" cm="1">
        <f t="array" ref="O658">_xlfn.SWITCH(J658,"M","Medium","D","Dark","L","Light")</f>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_xlfn.LET(_xlpm.val,_xlfn.XLOOKUP(C659,customers!$A$1:$A$1001,customers!$C$1:$C$1001,,0),IF(_xlpm.val=0,"",_xlpm.val))</f>
        <v>wplacei9@wsj.com</v>
      </c>
      <c r="H659" s="2" t="str">
        <f>_xlfn.LET(_xlpm.val,_xlfn.XLOOKUP(C659,customers!$A$1:$A$1001,customers!$G$1:$G$1001,,0),IF(_xlpm.val=0,"",_xlpm.val))</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cm="1">
        <f t="array" ref="N659">_xlfn.SWITCH(I659,"rob","Robusta","exc","Excelsa","Ara","Arabica","Lib","Liberica","")</f>
        <v>Arabica</v>
      </c>
      <c r="O659" t="str" cm="1">
        <f t="array" ref="O659">_xlfn.SWITCH(J659,"M","Medium","D","Dark","L","Light")</f>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_xlfn.LET(_xlpm.val,_xlfn.XLOOKUP(C660,customers!$A$1:$A$1001,customers!$C$1:$C$1001,,0),IF(_xlpm.val=0,"",_xlpm.val))</f>
        <v>jmillettik@addtoany.com</v>
      </c>
      <c r="H660" s="2" t="str">
        <f>_xlfn.LET(_xlpm.val,_xlfn.XLOOKUP(C660,customers!$A$1:$A$1001,customers!$G$1:$G$1001,,0),IF(_xlpm.val=0,"",_xlpm.val))</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cm="1">
        <f t="array" ref="N660">_xlfn.SWITCH(I660,"rob","Robusta","exc","Excelsa","Ara","Arabica","Lib","Liberica","")</f>
        <v>Excelsa</v>
      </c>
      <c r="O660" t="str" cm="1">
        <f t="array" ref="O660">_xlfn.SWITCH(J660,"M","Medium","D","Dark","L","Light")</f>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_xlfn.LET(_xlpm.val,_xlfn.XLOOKUP(C661,customers!$A$1:$A$1001,customers!$C$1:$C$1001,,0),IF(_xlpm.val=0,"",_xlpm.val))</f>
        <v>dgadsdenib@google.com.hk</v>
      </c>
      <c r="H661" s="2" t="str">
        <f>_xlfn.LET(_xlpm.val,_xlfn.XLOOKUP(C661,customers!$A$1:$A$1001,customers!$G$1:$G$1001,,0),IF(_xlpm.val=0,"",_xlpm.val))</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cm="1">
        <f t="array" ref="N661">_xlfn.SWITCH(I661,"rob","Robusta","exc","Excelsa","Ara","Arabica","Lib","Liberica","")</f>
        <v>Arabica</v>
      </c>
      <c r="O661" t="str" cm="1">
        <f t="array" ref="O661">_xlfn.SWITCH(J661,"M","Medium","D","Dark","L","Light")</f>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_xlfn.LET(_xlpm.val,_xlfn.XLOOKUP(C662,customers!$A$1:$A$1001,customers!$C$1:$C$1001,,0),IF(_xlpm.val=0,"",_xlpm.val))</f>
        <v>vwakelinic@unesco.org</v>
      </c>
      <c r="H662" s="2" t="str">
        <f>_xlfn.LET(_xlpm.val,_xlfn.XLOOKUP(C662,customers!$A$1:$A$1001,customers!$G$1:$G$1001,,0),IF(_xlpm.val=0,"",_xlpm.val))</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cm="1">
        <f t="array" ref="N662">_xlfn.SWITCH(I662,"rob","Robusta","exc","Excelsa","Ara","Arabica","Lib","Liberica","")</f>
        <v>Excelsa</v>
      </c>
      <c r="O662" t="str" cm="1">
        <f t="array" ref="O662">_xlfn.SWITCH(J662,"M","Medium","D","Dark","L","Light")</f>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_xlfn.LET(_xlpm.val,_xlfn.XLOOKUP(C663,customers!$A$1:$A$1001,customers!$C$1:$C$1001,,0),IF(_xlpm.val=0,"",_xlpm.val))</f>
        <v>acampsallid@zimbio.com</v>
      </c>
      <c r="H663" s="2" t="str">
        <f>_xlfn.LET(_xlpm.val,_xlfn.XLOOKUP(C663,customers!$A$1:$A$1001,customers!$G$1:$G$1001,,0),IF(_xlpm.val=0,"",_xlpm.val))</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cm="1">
        <f t="array" ref="N663">_xlfn.SWITCH(I663,"rob","Robusta","exc","Excelsa","Ara","Arabica","Lib","Liberica","")</f>
        <v>Arabica</v>
      </c>
      <c r="O663" t="str" cm="1">
        <f t="array" ref="O663">_xlfn.SWITCH(J663,"M","Medium","D","Dark","L","Light")</f>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_xlfn.LET(_xlpm.val,_xlfn.XLOOKUP(C664,customers!$A$1:$A$1001,customers!$C$1:$C$1001,,0),IF(_xlpm.val=0,"",_xlpm.val))</f>
        <v>smosebyie@stanford.edu</v>
      </c>
      <c r="H664" s="2" t="str">
        <f>_xlfn.LET(_xlpm.val,_xlfn.XLOOKUP(C664,customers!$A$1:$A$1001,customers!$G$1:$G$1001,,0),IF(_xlpm.val=0,"",_xlpm.val))</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cm="1">
        <f t="array" ref="N664">_xlfn.SWITCH(I664,"rob","Robusta","exc","Excelsa","Ara","Arabica","Lib","Liberica","")</f>
        <v>Liberica</v>
      </c>
      <c r="O664" t="str" cm="1">
        <f t="array" ref="O664">_xlfn.SWITCH(J664,"M","Medium","D","Dark","L","Light")</f>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_xlfn.LET(_xlpm.val,_xlfn.XLOOKUP(C665,customers!$A$1:$A$1001,customers!$C$1:$C$1001,,0),IF(_xlpm.val=0,"",_xlpm.val))</f>
        <v>cwassif@prweb.com</v>
      </c>
      <c r="H665" s="2" t="str">
        <f>_xlfn.LET(_xlpm.val,_xlfn.XLOOKUP(C665,customers!$A$1:$A$1001,customers!$G$1:$G$1001,,0),IF(_xlpm.val=0,"",_xlpm.val))</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cm="1">
        <f t="array" ref="N665">_xlfn.SWITCH(I665,"rob","Robusta","exc","Excelsa","Ara","Arabica","Lib","Liberica","")</f>
        <v>Arabica</v>
      </c>
      <c r="O665" t="str" cm="1">
        <f t="array" ref="O665">_xlfn.SWITCH(J665,"M","Medium","D","Dark","L","Light")</f>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_xlfn.LET(_xlpm.val,_xlfn.XLOOKUP(C666,customers!$A$1:$A$1001,customers!$C$1:$C$1001,,0),IF(_xlpm.val=0,"",_xlpm.val))</f>
        <v>isjostromig@pbs.org</v>
      </c>
      <c r="H666" s="2" t="str">
        <f>_xlfn.LET(_xlpm.val,_xlfn.XLOOKUP(C666,customers!$A$1:$A$1001,customers!$G$1:$G$1001,,0),IF(_xlpm.val=0,"",_xlpm.val))</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cm="1">
        <f t="array" ref="N666">_xlfn.SWITCH(I666,"rob","Robusta","exc","Excelsa","Ara","Arabica","Lib","Liberica","")</f>
        <v>Excelsa</v>
      </c>
      <c r="O666" t="str" cm="1">
        <f t="array" ref="O666">_xlfn.SWITCH(J666,"M","Medium","D","Dark","L","Light")</f>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_xlfn.LET(_xlpm.val,_xlfn.XLOOKUP(C667,customers!$A$1:$A$1001,customers!$C$1:$C$1001,,0),IF(_xlpm.val=0,"",_xlpm.val))</f>
        <v>isjostromig@pbs.org</v>
      </c>
      <c r="H667" s="2" t="str">
        <f>_xlfn.LET(_xlpm.val,_xlfn.XLOOKUP(C667,customers!$A$1:$A$1001,customers!$G$1:$G$1001,,0),IF(_xlpm.val=0,"",_xlpm.val))</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cm="1">
        <f t="array" ref="N667">_xlfn.SWITCH(I667,"rob","Robusta","exc","Excelsa","Ara","Arabica","Lib","Liberica","")</f>
        <v>Liberica</v>
      </c>
      <c r="O667" t="str" cm="1">
        <f t="array" ref="O667">_xlfn.SWITCH(J667,"M","Medium","D","Dark","L","Light")</f>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_xlfn.LET(_xlpm.val,_xlfn.XLOOKUP(C668,customers!$A$1:$A$1001,customers!$C$1:$C$1001,,0),IF(_xlpm.val=0,"",_xlpm.val))</f>
        <v>jbranchettii@bravesites.com</v>
      </c>
      <c r="H668" s="2" t="str">
        <f>_xlfn.LET(_xlpm.val,_xlfn.XLOOKUP(C668,customers!$A$1:$A$1001,customers!$G$1:$G$1001,,0),IF(_xlpm.val=0,"",_xlpm.val))</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cm="1">
        <f t="array" ref="N668">_xlfn.SWITCH(I668,"rob","Robusta","exc","Excelsa","Ara","Arabica","Lib","Liberica","")</f>
        <v>Arabica</v>
      </c>
      <c r="O668" t="str" cm="1">
        <f t="array" ref="O668">_xlfn.SWITCH(J668,"M","Medium","D","Dark","L","Light")</f>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_xlfn.LET(_xlpm.val,_xlfn.XLOOKUP(C669,customers!$A$1:$A$1001,customers!$C$1:$C$1001,,0),IF(_xlpm.val=0,"",_xlpm.val))</f>
        <v>nrudlandij@blogs.com</v>
      </c>
      <c r="H669" s="2" t="str">
        <f>_xlfn.LET(_xlpm.val,_xlfn.XLOOKUP(C669,customers!$A$1:$A$1001,customers!$G$1:$G$1001,,0),IF(_xlpm.val=0,"",_xlpm.val))</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cm="1">
        <f t="array" ref="N669">_xlfn.SWITCH(I669,"rob","Robusta","exc","Excelsa","Ara","Arabica","Lib","Liberica","")</f>
        <v>Arabica</v>
      </c>
      <c r="O669" t="str" cm="1">
        <f t="array" ref="O669">_xlfn.SWITCH(J669,"M","Medium","D","Dark","L","Light")</f>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_xlfn.LET(_xlpm.val,_xlfn.XLOOKUP(C670,customers!$A$1:$A$1001,customers!$C$1:$C$1001,,0),IF(_xlpm.val=0,"",_xlpm.val))</f>
        <v>jmillettik@addtoany.com</v>
      </c>
      <c r="H670" s="2" t="str">
        <f>_xlfn.LET(_xlpm.val,_xlfn.XLOOKUP(C670,customers!$A$1:$A$1001,customers!$G$1:$G$1001,,0),IF(_xlpm.val=0,"",_xlpm.val))</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cm="1">
        <f t="array" ref="N670">_xlfn.SWITCH(I670,"rob","Robusta","exc","Excelsa","Ara","Arabica","Lib","Liberica","")</f>
        <v>Robusta</v>
      </c>
      <c r="O670" t="str" cm="1">
        <f t="array" ref="O670">_xlfn.SWITCH(J670,"M","Medium","D","Dark","L","Light")</f>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_xlfn.LET(_xlpm.val,_xlfn.XLOOKUP(C671,customers!$A$1:$A$1001,customers!$C$1:$C$1001,,0),IF(_xlpm.val=0,"",_xlpm.val))</f>
        <v>ftourryil@google.de</v>
      </c>
      <c r="H671" s="2" t="str">
        <f>_xlfn.LET(_xlpm.val,_xlfn.XLOOKUP(C671,customers!$A$1:$A$1001,customers!$G$1:$G$1001,,0),IF(_xlpm.val=0,"",_xlpm.val))</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cm="1">
        <f t="array" ref="N671">_xlfn.SWITCH(I671,"rob","Robusta","exc","Excelsa","Ara","Arabica","Lib","Liberica","")</f>
        <v>Liberica</v>
      </c>
      <c r="O671" t="str" cm="1">
        <f t="array" ref="O671">_xlfn.SWITCH(J671,"M","Medium","D","Dark","L","Light")</f>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_xlfn.LET(_xlpm.val,_xlfn.XLOOKUP(C672,customers!$A$1:$A$1001,customers!$C$1:$C$1001,,0),IF(_xlpm.val=0,"",_xlpm.val))</f>
        <v>cweatherallim@toplist.cz</v>
      </c>
      <c r="H672" s="2" t="str">
        <f>_xlfn.LET(_xlpm.val,_xlfn.XLOOKUP(C672,customers!$A$1:$A$1001,customers!$G$1:$G$1001,,0),IF(_xlpm.val=0,"",_xlpm.val))</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cm="1">
        <f t="array" ref="N672">_xlfn.SWITCH(I672,"rob","Robusta","exc","Excelsa","Ara","Arabica","Lib","Liberica","")</f>
        <v>Liberica</v>
      </c>
      <c r="O672" t="str" cm="1">
        <f t="array" ref="O672">_xlfn.SWITCH(J672,"M","Medium","D","Dark","L","Light")</f>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_xlfn.LET(_xlpm.val,_xlfn.XLOOKUP(C673,customers!$A$1:$A$1001,customers!$C$1:$C$1001,,0),IF(_xlpm.val=0,"",_xlpm.val))</f>
        <v>gheindrickin@usda.gov</v>
      </c>
      <c r="H673" s="2" t="str">
        <f>_xlfn.LET(_xlpm.val,_xlfn.XLOOKUP(C673,customers!$A$1:$A$1001,customers!$G$1:$G$1001,,0),IF(_xlpm.val=0,"",_xlpm.val))</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cm="1">
        <f t="array" ref="N673">_xlfn.SWITCH(I673,"rob","Robusta","exc","Excelsa","Ara","Arabica","Lib","Liberica","")</f>
        <v>Robusta</v>
      </c>
      <c r="O673" t="str" cm="1">
        <f t="array" ref="O673">_xlfn.SWITCH(J673,"M","Medium","D","Dark","L","Light")</f>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_xlfn.LET(_xlpm.val,_xlfn.XLOOKUP(C674,customers!$A$1:$A$1001,customers!$C$1:$C$1001,,0),IF(_xlpm.val=0,"",_xlpm.val))</f>
        <v>limasonio@discuz.net</v>
      </c>
      <c r="H674" s="2" t="str">
        <f>_xlfn.LET(_xlpm.val,_xlfn.XLOOKUP(C674,customers!$A$1:$A$1001,customers!$G$1:$G$1001,,0),IF(_xlpm.val=0,"",_xlpm.val))</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cm="1">
        <f t="array" ref="N674">_xlfn.SWITCH(I674,"rob","Robusta","exc","Excelsa","Ara","Arabica","Lib","Liberica","")</f>
        <v>Liberica</v>
      </c>
      <c r="O674" t="str" cm="1">
        <f t="array" ref="O674">_xlfn.SWITCH(J674,"M","Medium","D","Dark","L","Light")</f>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_xlfn.LET(_xlpm.val,_xlfn.XLOOKUP(C675,customers!$A$1:$A$1001,customers!$C$1:$C$1001,,0),IF(_xlpm.val=0,"",_xlpm.val))</f>
        <v>hsaillip@odnoklassniki.ru</v>
      </c>
      <c r="H675" s="2" t="str">
        <f>_xlfn.LET(_xlpm.val,_xlfn.XLOOKUP(C675,customers!$A$1:$A$1001,customers!$G$1:$G$1001,,0),IF(_xlpm.val=0,"",_xlpm.val))</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cm="1">
        <f t="array" ref="N675">_xlfn.SWITCH(I675,"rob","Robusta","exc","Excelsa","Ara","Arabica","Lib","Liberica","")</f>
        <v>Excelsa</v>
      </c>
      <c r="O675" t="str" cm="1">
        <f t="array" ref="O675">_xlfn.SWITCH(J675,"M","Medium","D","Dark","L","Light")</f>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_xlfn.LET(_xlpm.val,_xlfn.XLOOKUP(C676,customers!$A$1:$A$1001,customers!$C$1:$C$1001,,0),IF(_xlpm.val=0,"",_xlpm.val))</f>
        <v>hlarvoriq@last.fm</v>
      </c>
      <c r="H676" s="2" t="str">
        <f>_xlfn.LET(_xlpm.val,_xlfn.XLOOKUP(C676,customers!$A$1:$A$1001,customers!$G$1:$G$1001,,0),IF(_xlpm.val=0,"",_xlpm.val))</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cm="1">
        <f t="array" ref="N676">_xlfn.SWITCH(I676,"rob","Robusta","exc","Excelsa","Ara","Arabica","Lib","Liberica","")</f>
        <v>Arabica</v>
      </c>
      <c r="O676" t="str" cm="1">
        <f t="array" ref="O676">_xlfn.SWITCH(J676,"M","Medium","D","Dark","L","Light")</f>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_xlfn.LET(_xlpm.val,_xlfn.XLOOKUP(C677,customers!$A$1:$A$1001,customers!$C$1:$C$1001,,0),IF(_xlpm.val=0,"",_xlpm.val))</f>
        <v/>
      </c>
      <c r="H677" s="2" t="str">
        <f>_xlfn.LET(_xlpm.val,_xlfn.XLOOKUP(C677,customers!$A$1:$A$1001,customers!$G$1:$G$1001,,0),IF(_xlpm.val=0,"",_xlpm.val))</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cm="1">
        <f t="array" ref="N677">_xlfn.SWITCH(I677,"rob","Robusta","exc","Excelsa","Ara","Arabica","Lib","Liberica","")</f>
        <v>Liberica</v>
      </c>
      <c r="O677" t="str" cm="1">
        <f t="array" ref="O677">_xlfn.SWITCH(J677,"M","Medium","D","Dark","L","Light")</f>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_xlfn.LET(_xlpm.val,_xlfn.XLOOKUP(C678,customers!$A$1:$A$1001,customers!$C$1:$C$1001,,0),IF(_xlpm.val=0,"",_xlpm.val))</f>
        <v/>
      </c>
      <c r="H678" s="2" t="str">
        <f>_xlfn.LET(_xlpm.val,_xlfn.XLOOKUP(C678,customers!$A$1:$A$1001,customers!$G$1:$G$1001,,0),IF(_xlpm.val=0,"",_xlpm.val))</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cm="1">
        <f t="array" ref="N678">_xlfn.SWITCH(I678,"rob","Robusta","exc","Excelsa","Ara","Arabica","Lib","Liberica","")</f>
        <v>Liberica</v>
      </c>
      <c r="O678" t="str" cm="1">
        <f t="array" ref="O678">_xlfn.SWITCH(J678,"M","Medium","D","Dark","L","Light")</f>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_xlfn.LET(_xlpm.val,_xlfn.XLOOKUP(C679,customers!$A$1:$A$1001,customers!$C$1:$C$1001,,0),IF(_xlpm.val=0,"",_xlpm.val))</f>
        <v>cpenwardenit@mlb.com</v>
      </c>
      <c r="H679" s="2" t="str">
        <f>_xlfn.LET(_xlpm.val,_xlfn.XLOOKUP(C679,customers!$A$1:$A$1001,customers!$G$1:$G$1001,,0),IF(_xlpm.val=0,"",_xlpm.val))</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cm="1">
        <f t="array" ref="N679">_xlfn.SWITCH(I679,"rob","Robusta","exc","Excelsa","Ara","Arabica","Lib","Liberica","")</f>
        <v>Liberica</v>
      </c>
      <c r="O679" t="str" cm="1">
        <f t="array" ref="O679">_xlfn.SWITCH(J679,"M","Medium","D","Dark","L","Light")</f>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_xlfn.LET(_xlpm.val,_xlfn.XLOOKUP(C680,customers!$A$1:$A$1001,customers!$C$1:$C$1001,,0),IF(_xlpm.val=0,"",_xlpm.val))</f>
        <v>mmiddisiu@dmoz.org</v>
      </c>
      <c r="H680" s="2" t="str">
        <f>_xlfn.LET(_xlpm.val,_xlfn.XLOOKUP(C680,customers!$A$1:$A$1001,customers!$G$1:$G$1001,,0),IF(_xlpm.val=0,"",_xlpm.val))</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cm="1">
        <f t="array" ref="N680">_xlfn.SWITCH(I680,"rob","Robusta","exc","Excelsa","Ara","Arabica","Lib","Liberica","")</f>
        <v>Arabica</v>
      </c>
      <c r="O680" t="str" cm="1">
        <f t="array" ref="O680">_xlfn.SWITCH(J680,"M","Medium","D","Dark","L","Light")</f>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_xlfn.LET(_xlpm.val,_xlfn.XLOOKUP(C681,customers!$A$1:$A$1001,customers!$C$1:$C$1001,,0),IF(_xlpm.val=0,"",_xlpm.val))</f>
        <v>avairowiv@studiopress.com</v>
      </c>
      <c r="H681" s="2" t="str">
        <f>_xlfn.LET(_xlpm.val,_xlfn.XLOOKUP(C681,customers!$A$1:$A$1001,customers!$G$1:$G$1001,,0),IF(_xlpm.val=0,"",_xlpm.val))</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cm="1">
        <f t="array" ref="N681">_xlfn.SWITCH(I681,"rob","Robusta","exc","Excelsa","Ara","Arabica","Lib","Liberica","")</f>
        <v>Robusta</v>
      </c>
      <c r="O681" t="str" cm="1">
        <f t="array" ref="O681">_xlfn.SWITCH(J681,"M","Medium","D","Dark","L","Light")</f>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_xlfn.LET(_xlpm.val,_xlfn.XLOOKUP(C682,customers!$A$1:$A$1001,customers!$C$1:$C$1001,,0),IF(_xlpm.val=0,"",_xlpm.val))</f>
        <v>agoldieiw@goo.gl</v>
      </c>
      <c r="H682" s="2" t="str">
        <f>_xlfn.LET(_xlpm.val,_xlfn.XLOOKUP(C682,customers!$A$1:$A$1001,customers!$G$1:$G$1001,,0),IF(_xlpm.val=0,"",_xlpm.val))</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cm="1">
        <f t="array" ref="N682">_xlfn.SWITCH(I682,"rob","Robusta","exc","Excelsa","Ara","Arabica","Lib","Liberica","")</f>
        <v>Arabica</v>
      </c>
      <c r="O682" t="str" cm="1">
        <f t="array" ref="O682">_xlfn.SWITCH(J682,"M","Medium","D","Dark","L","Light")</f>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_xlfn.LET(_xlpm.val,_xlfn.XLOOKUP(C683,customers!$A$1:$A$1001,customers!$C$1:$C$1001,,0),IF(_xlpm.val=0,"",_xlpm.val))</f>
        <v>nayrisix@t-online.de</v>
      </c>
      <c r="H683" s="2" t="str">
        <f>_xlfn.LET(_xlpm.val,_xlfn.XLOOKUP(C683,customers!$A$1:$A$1001,customers!$G$1:$G$1001,,0),IF(_xlpm.val=0,"",_xlpm.val))</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cm="1">
        <f t="array" ref="N683">_xlfn.SWITCH(I683,"rob","Robusta","exc","Excelsa","Ara","Arabica","Lib","Liberica","")</f>
        <v>Liberica</v>
      </c>
      <c r="O683" t="str" cm="1">
        <f t="array" ref="O683">_xlfn.SWITCH(J683,"M","Medium","D","Dark","L","Light")</f>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_xlfn.LET(_xlpm.val,_xlfn.XLOOKUP(C684,customers!$A$1:$A$1001,customers!$C$1:$C$1001,,0),IF(_xlpm.val=0,"",_xlpm.val))</f>
        <v>lbenediktovichiy@wunderground.com</v>
      </c>
      <c r="H684" s="2" t="str">
        <f>_xlfn.LET(_xlpm.val,_xlfn.XLOOKUP(C684,customers!$A$1:$A$1001,customers!$G$1:$G$1001,,0),IF(_xlpm.val=0,"",_xlpm.val))</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cm="1">
        <f t="array" ref="N684">_xlfn.SWITCH(I684,"rob","Robusta","exc","Excelsa","Ara","Arabica","Lib","Liberica","")</f>
        <v>Excelsa</v>
      </c>
      <c r="O684" t="str" cm="1">
        <f t="array" ref="O684">_xlfn.SWITCH(J684,"M","Medium","D","Dark","L","Light")</f>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_xlfn.LET(_xlpm.val,_xlfn.XLOOKUP(C685,customers!$A$1:$A$1001,customers!$C$1:$C$1001,,0),IF(_xlpm.val=0,"",_xlpm.val))</f>
        <v>tjacobovitziz@cbc.ca</v>
      </c>
      <c r="H685" s="2" t="str">
        <f>_xlfn.LET(_xlpm.val,_xlfn.XLOOKUP(C685,customers!$A$1:$A$1001,customers!$G$1:$G$1001,,0),IF(_xlpm.val=0,"",_xlpm.val))</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cm="1">
        <f t="array" ref="N685">_xlfn.SWITCH(I685,"rob","Robusta","exc","Excelsa","Ara","Arabica","Lib","Liberica","")</f>
        <v>Liberica</v>
      </c>
      <c r="O685" t="str" cm="1">
        <f t="array" ref="O685">_xlfn.SWITCH(J685,"M","Medium","D","Dark","L","Light")</f>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_xlfn.LET(_xlpm.val,_xlfn.XLOOKUP(C686,customers!$A$1:$A$1001,customers!$C$1:$C$1001,,0),IF(_xlpm.val=0,"",_xlpm.val))</f>
        <v/>
      </c>
      <c r="H686" s="2" t="str">
        <f>_xlfn.LET(_xlpm.val,_xlfn.XLOOKUP(C686,customers!$A$1:$A$1001,customers!$G$1:$G$1001,,0),IF(_xlpm.val=0,"",_xlpm.val))</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cm="1">
        <f t="array" ref="N686">_xlfn.SWITCH(I686,"rob","Robusta","exc","Excelsa","Ara","Arabica","Lib","Liberica","")</f>
        <v>Robusta</v>
      </c>
      <c r="O686" t="str" cm="1">
        <f t="array" ref="O686">_xlfn.SWITCH(J686,"M","Medium","D","Dark","L","Light")</f>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_xlfn.LET(_xlpm.val,_xlfn.XLOOKUP(C687,customers!$A$1:$A$1001,customers!$C$1:$C$1001,,0),IF(_xlpm.val=0,"",_xlpm.val))</f>
        <v>jdruittj1@feedburner.com</v>
      </c>
      <c r="H687" s="2" t="str">
        <f>_xlfn.LET(_xlpm.val,_xlfn.XLOOKUP(C687,customers!$A$1:$A$1001,customers!$G$1:$G$1001,,0),IF(_xlpm.val=0,"",_xlpm.val))</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cm="1">
        <f t="array" ref="N687">_xlfn.SWITCH(I687,"rob","Robusta","exc","Excelsa","Ara","Arabica","Lib","Liberica","")</f>
        <v>Liberica</v>
      </c>
      <c r="O687" t="str" cm="1">
        <f t="array" ref="O687">_xlfn.SWITCH(J687,"M","Medium","D","Dark","L","Light")</f>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_xlfn.LET(_xlpm.val,_xlfn.XLOOKUP(C688,customers!$A$1:$A$1001,customers!$C$1:$C$1001,,0),IF(_xlpm.val=0,"",_xlpm.val))</f>
        <v>dshortallj2@wikipedia.org</v>
      </c>
      <c r="H688" s="2" t="str">
        <f>_xlfn.LET(_xlpm.val,_xlfn.XLOOKUP(C688,customers!$A$1:$A$1001,customers!$G$1:$G$1001,,0),IF(_xlpm.val=0,"",_xlpm.val))</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cm="1">
        <f t="array" ref="N688">_xlfn.SWITCH(I688,"rob","Robusta","exc","Excelsa","Ara","Arabica","Lib","Liberica","")</f>
        <v>Robusta</v>
      </c>
      <c r="O688" t="str" cm="1">
        <f t="array" ref="O688">_xlfn.SWITCH(J688,"M","Medium","D","Dark","L","Light")</f>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_xlfn.LET(_xlpm.val,_xlfn.XLOOKUP(C689,customers!$A$1:$A$1001,customers!$C$1:$C$1001,,0),IF(_xlpm.val=0,"",_xlpm.val))</f>
        <v>wcottierj3@cafepress.com</v>
      </c>
      <c r="H689" s="2" t="str">
        <f>_xlfn.LET(_xlpm.val,_xlfn.XLOOKUP(C689,customers!$A$1:$A$1001,customers!$G$1:$G$1001,,0),IF(_xlpm.val=0,"",_xlpm.val))</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cm="1">
        <f t="array" ref="N689">_xlfn.SWITCH(I689,"rob","Robusta","exc","Excelsa","Ara","Arabica","Lib","Liberica","")</f>
        <v>Excelsa</v>
      </c>
      <c r="O689" t="str" cm="1">
        <f t="array" ref="O689">_xlfn.SWITCH(J689,"M","Medium","D","Dark","L","Light")</f>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_xlfn.LET(_xlpm.val,_xlfn.XLOOKUP(C690,customers!$A$1:$A$1001,customers!$C$1:$C$1001,,0),IF(_xlpm.val=0,"",_xlpm.val))</f>
        <v>kgrinstedj4@google.com.br</v>
      </c>
      <c r="H690" s="2" t="str">
        <f>_xlfn.LET(_xlpm.val,_xlfn.XLOOKUP(C690,customers!$A$1:$A$1001,customers!$G$1:$G$1001,,0),IF(_xlpm.val=0,"",_xlpm.val))</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cm="1">
        <f t="array" ref="N690">_xlfn.SWITCH(I690,"rob","Robusta","exc","Excelsa","Ara","Arabica","Lib","Liberica","")</f>
        <v>Arabica</v>
      </c>
      <c r="O690" t="str" cm="1">
        <f t="array" ref="O690">_xlfn.SWITCH(J690,"M","Medium","D","Dark","L","Light")</f>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_xlfn.LET(_xlpm.val,_xlfn.XLOOKUP(C691,customers!$A$1:$A$1001,customers!$C$1:$C$1001,,0),IF(_xlpm.val=0,"",_xlpm.val))</f>
        <v>dskynerj5@hubpages.com</v>
      </c>
      <c r="H691" s="2" t="str">
        <f>_xlfn.LET(_xlpm.val,_xlfn.XLOOKUP(C691,customers!$A$1:$A$1001,customers!$G$1:$G$1001,,0),IF(_xlpm.val=0,"",_xlpm.val))</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cm="1">
        <f t="array" ref="N691">_xlfn.SWITCH(I691,"rob","Robusta","exc","Excelsa","Ara","Arabica","Lib","Liberica","")</f>
        <v>Arabica</v>
      </c>
      <c r="O691" t="str" cm="1">
        <f t="array" ref="O691">_xlfn.SWITCH(J691,"M","Medium","D","Dark","L","Light")</f>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_xlfn.LET(_xlpm.val,_xlfn.XLOOKUP(C692,customers!$A$1:$A$1001,customers!$C$1:$C$1001,,0),IF(_xlpm.val=0,"",_xlpm.val))</f>
        <v/>
      </c>
      <c r="H692" s="2" t="str">
        <f>_xlfn.LET(_xlpm.val,_xlfn.XLOOKUP(C692,customers!$A$1:$A$1001,customers!$G$1:$G$1001,,0),IF(_xlpm.val=0,"",_xlpm.val))</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cm="1">
        <f t="array" ref="N692">_xlfn.SWITCH(I692,"rob","Robusta","exc","Excelsa","Ara","Arabica","Lib","Liberica","")</f>
        <v>Liberica</v>
      </c>
      <c r="O692" t="str" cm="1">
        <f t="array" ref="O692">_xlfn.SWITCH(J692,"M","Medium","D","Dark","L","Light")</f>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_xlfn.LET(_xlpm.val,_xlfn.XLOOKUP(C693,customers!$A$1:$A$1001,customers!$C$1:$C$1001,,0),IF(_xlpm.val=0,"",_xlpm.val))</f>
        <v>jdymokeje@prnewswire.com</v>
      </c>
      <c r="H693" s="2" t="str">
        <f>_xlfn.LET(_xlpm.val,_xlfn.XLOOKUP(C693,customers!$A$1:$A$1001,customers!$G$1:$G$1001,,0),IF(_xlpm.val=0,"",_xlpm.val))</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cm="1">
        <f t="array" ref="N693">_xlfn.SWITCH(I693,"rob","Robusta","exc","Excelsa","Ara","Arabica","Lib","Liberica","")</f>
        <v>Arabica</v>
      </c>
      <c r="O693" t="str" cm="1">
        <f t="array" ref="O693">_xlfn.SWITCH(J693,"M","Medium","D","Dark","L","Light")</f>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_xlfn.LET(_xlpm.val,_xlfn.XLOOKUP(C694,customers!$A$1:$A$1001,customers!$C$1:$C$1001,,0),IF(_xlpm.val=0,"",_xlpm.val))</f>
        <v>aweinmannj8@shinystat.com</v>
      </c>
      <c r="H694" s="2" t="str">
        <f>_xlfn.LET(_xlpm.val,_xlfn.XLOOKUP(C694,customers!$A$1:$A$1001,customers!$G$1:$G$1001,,0),IF(_xlpm.val=0,"",_xlpm.val))</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cm="1">
        <f t="array" ref="N694">_xlfn.SWITCH(I694,"rob","Robusta","exc","Excelsa","Ara","Arabica","Lib","Liberica","")</f>
        <v>Liberica</v>
      </c>
      <c r="O694" t="str" cm="1">
        <f t="array" ref="O694">_xlfn.SWITCH(J694,"M","Medium","D","Dark","L","Light")</f>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_xlfn.LET(_xlpm.val,_xlfn.XLOOKUP(C695,customers!$A$1:$A$1001,customers!$C$1:$C$1001,,0),IF(_xlpm.val=0,"",_xlpm.val))</f>
        <v>eandriessenj9@europa.eu</v>
      </c>
      <c r="H695" s="2" t="str">
        <f>_xlfn.LET(_xlpm.val,_xlfn.XLOOKUP(C695,customers!$A$1:$A$1001,customers!$G$1:$G$1001,,0),IF(_xlpm.val=0,"",_xlpm.val))</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cm="1">
        <f t="array" ref="N695">_xlfn.SWITCH(I695,"rob","Robusta","exc","Excelsa","Ara","Arabica","Lib","Liberica","")</f>
        <v>Arabica</v>
      </c>
      <c r="O695" t="str" cm="1">
        <f t="array" ref="O695">_xlfn.SWITCH(J695,"M","Medium","D","Dark","L","Light")</f>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_xlfn.LET(_xlpm.val,_xlfn.XLOOKUP(C696,customers!$A$1:$A$1001,customers!$C$1:$C$1001,,0),IF(_xlpm.val=0,"",_xlpm.val))</f>
        <v>rdeaconsonja@archive.org</v>
      </c>
      <c r="H696" s="2" t="str">
        <f>_xlfn.LET(_xlpm.val,_xlfn.XLOOKUP(C696,customers!$A$1:$A$1001,customers!$G$1:$G$1001,,0),IF(_xlpm.val=0,"",_xlpm.val))</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cm="1">
        <f t="array" ref="N696">_xlfn.SWITCH(I696,"rob","Robusta","exc","Excelsa","Ara","Arabica","Lib","Liberica","")</f>
        <v>Excelsa</v>
      </c>
      <c r="O696" t="str" cm="1">
        <f t="array" ref="O696">_xlfn.SWITCH(J696,"M","Medium","D","Dark","L","Light")</f>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_xlfn.LET(_xlpm.val,_xlfn.XLOOKUP(C697,customers!$A$1:$A$1001,customers!$C$1:$C$1001,,0),IF(_xlpm.val=0,"",_xlpm.val))</f>
        <v>dcarojb@twitter.com</v>
      </c>
      <c r="H697" s="2" t="str">
        <f>_xlfn.LET(_xlpm.val,_xlfn.XLOOKUP(C697,customers!$A$1:$A$1001,customers!$G$1:$G$1001,,0),IF(_xlpm.val=0,"",_xlpm.val))</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cm="1">
        <f t="array" ref="N697">_xlfn.SWITCH(I697,"rob","Robusta","exc","Excelsa","Ara","Arabica","Lib","Liberica","")</f>
        <v>Liberica</v>
      </c>
      <c r="O697" t="str" cm="1">
        <f t="array" ref="O697">_xlfn.SWITCH(J697,"M","Medium","D","Dark","L","Light")</f>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_xlfn.LET(_xlpm.val,_xlfn.XLOOKUP(C698,customers!$A$1:$A$1001,customers!$C$1:$C$1001,,0),IF(_xlpm.val=0,"",_xlpm.val))</f>
        <v>jbluckjc@imageshack.us</v>
      </c>
      <c r="H698" s="2" t="str">
        <f>_xlfn.LET(_xlpm.val,_xlfn.XLOOKUP(C698,customers!$A$1:$A$1001,customers!$G$1:$G$1001,,0),IF(_xlpm.val=0,"",_xlpm.val))</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cm="1">
        <f t="array" ref="N698">_xlfn.SWITCH(I698,"rob","Robusta","exc","Excelsa","Ara","Arabica","Lib","Liberica","")</f>
        <v>Liberica</v>
      </c>
      <c r="O698" t="str" cm="1">
        <f t="array" ref="O698">_xlfn.SWITCH(J698,"M","Medium","D","Dark","L","Light")</f>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_xlfn.LET(_xlpm.val,_xlfn.XLOOKUP(C699,customers!$A$1:$A$1001,customers!$C$1:$C$1001,,0),IF(_xlpm.val=0,"",_xlpm.val))</f>
        <v/>
      </c>
      <c r="H699" s="2" t="str">
        <f>_xlfn.LET(_xlpm.val,_xlfn.XLOOKUP(C699,customers!$A$1:$A$1001,customers!$G$1:$G$1001,,0),IF(_xlpm.val=0,"",_xlpm.val))</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cm="1">
        <f t="array" ref="N699">_xlfn.SWITCH(I699,"rob","Robusta","exc","Excelsa","Ara","Arabica","Lib","Liberica","")</f>
        <v>Arabica</v>
      </c>
      <c r="O699" t="str" cm="1">
        <f t="array" ref="O699">_xlfn.SWITCH(J699,"M","Medium","D","Dark","L","Light")</f>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_xlfn.LET(_xlpm.val,_xlfn.XLOOKUP(C700,customers!$A$1:$A$1001,customers!$C$1:$C$1001,,0),IF(_xlpm.val=0,"",_xlpm.val))</f>
        <v>jdymokeje@prnewswire.com</v>
      </c>
      <c r="H700" s="2" t="str">
        <f>_xlfn.LET(_xlpm.val,_xlfn.XLOOKUP(C700,customers!$A$1:$A$1001,customers!$G$1:$G$1001,,0),IF(_xlpm.val=0,"",_xlpm.val))</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cm="1">
        <f t="array" ref="N700">_xlfn.SWITCH(I700,"rob","Robusta","exc","Excelsa","Ara","Arabica","Lib","Liberica","")</f>
        <v>Liberica</v>
      </c>
      <c r="O700" t="str" cm="1">
        <f t="array" ref="O700">_xlfn.SWITCH(J700,"M","Medium","D","Dark","L","Light")</f>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_xlfn.LET(_xlpm.val,_xlfn.XLOOKUP(C701,customers!$A$1:$A$1001,customers!$C$1:$C$1001,,0),IF(_xlpm.val=0,"",_xlpm.val))</f>
        <v>otadmanjf@ft.com</v>
      </c>
      <c r="H701" s="2" t="str">
        <f>_xlfn.LET(_xlpm.val,_xlfn.XLOOKUP(C701,customers!$A$1:$A$1001,customers!$G$1:$G$1001,,0),IF(_xlpm.val=0,"",_xlpm.val))</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cm="1">
        <f t="array" ref="N701">_xlfn.SWITCH(I701,"rob","Robusta","exc","Excelsa","Ara","Arabica","Lib","Liberica","")</f>
        <v>Arabica</v>
      </c>
      <c r="O701" t="str" cm="1">
        <f t="array" ref="O701">_xlfn.SWITCH(J701,"M","Medium","D","Dark","L","Light")</f>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_xlfn.LET(_xlpm.val,_xlfn.XLOOKUP(C702,customers!$A$1:$A$1001,customers!$C$1:$C$1001,,0),IF(_xlpm.val=0,"",_xlpm.val))</f>
        <v>bguddejg@dailymotion.com</v>
      </c>
      <c r="H702" s="2" t="str">
        <f>_xlfn.LET(_xlpm.val,_xlfn.XLOOKUP(C702,customers!$A$1:$A$1001,customers!$G$1:$G$1001,,0),IF(_xlpm.val=0,"",_xlpm.val))</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cm="1">
        <f t="array" ref="N702">_xlfn.SWITCH(I702,"rob","Robusta","exc","Excelsa","Ara","Arabica","Lib","Liberica","")</f>
        <v>Liberica</v>
      </c>
      <c r="O702" t="str" cm="1">
        <f t="array" ref="O702">_xlfn.SWITCH(J702,"M","Medium","D","Dark","L","Light")</f>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_xlfn.LET(_xlpm.val,_xlfn.XLOOKUP(C703,customers!$A$1:$A$1001,customers!$C$1:$C$1001,,0),IF(_xlpm.val=0,"",_xlpm.val))</f>
        <v>nsictornesjh@buzzfeed.com</v>
      </c>
      <c r="H703" s="2" t="str">
        <f>_xlfn.LET(_xlpm.val,_xlfn.XLOOKUP(C703,customers!$A$1:$A$1001,customers!$G$1:$G$1001,,0),IF(_xlpm.val=0,"",_xlpm.val))</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cm="1">
        <f t="array" ref="N703">_xlfn.SWITCH(I703,"rob","Robusta","exc","Excelsa","Ara","Arabica","Lib","Liberica","")</f>
        <v>Arabica</v>
      </c>
      <c r="O703" t="str" cm="1">
        <f t="array" ref="O703">_xlfn.SWITCH(J703,"M","Medium","D","Dark","L","Light")</f>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_xlfn.LET(_xlpm.val,_xlfn.XLOOKUP(C704,customers!$A$1:$A$1001,customers!$C$1:$C$1001,,0),IF(_xlpm.val=0,"",_xlpm.val))</f>
        <v>vdunningji@independent.co.uk</v>
      </c>
      <c r="H704" s="2" t="str">
        <f>_xlfn.LET(_xlpm.val,_xlfn.XLOOKUP(C704,customers!$A$1:$A$1001,customers!$G$1:$G$1001,,0),IF(_xlpm.val=0,"",_xlpm.val))</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cm="1">
        <f t="array" ref="N704">_xlfn.SWITCH(I704,"rob","Robusta","exc","Excelsa","Ara","Arabica","Lib","Liberica","")</f>
        <v>Arabica</v>
      </c>
      <c r="O704" t="str" cm="1">
        <f t="array" ref="O704">_xlfn.SWITCH(J704,"M","Medium","D","Dark","L","Light")</f>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_xlfn.LET(_xlpm.val,_xlfn.XLOOKUP(C705,customers!$A$1:$A$1001,customers!$C$1:$C$1001,,0),IF(_xlpm.val=0,"",_xlpm.val))</f>
        <v/>
      </c>
      <c r="H705" s="2" t="str">
        <f>_xlfn.LET(_xlpm.val,_xlfn.XLOOKUP(C705,customers!$A$1:$A$1001,customers!$G$1:$G$1001,,0),IF(_xlpm.val=0,"",_xlpm.val))</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cm="1">
        <f t="array" ref="N705">_xlfn.SWITCH(I705,"rob","Robusta","exc","Excelsa","Ara","Arabica","Lib","Liberica","")</f>
        <v>Liberica</v>
      </c>
      <c r="O705" t="str" cm="1">
        <f t="array" ref="O705">_xlfn.SWITCH(J705,"M","Medium","D","Dark","L","Light")</f>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_xlfn.LET(_xlpm.val,_xlfn.XLOOKUP(C706,customers!$A$1:$A$1001,customers!$C$1:$C$1001,,0),IF(_xlpm.val=0,"",_xlpm.val))</f>
        <v/>
      </c>
      <c r="H706" s="2" t="str">
        <f>_xlfn.LET(_xlpm.val,_xlfn.XLOOKUP(C706,customers!$A$1:$A$1001,customers!$G$1:$G$1001,,0),IF(_xlpm.val=0,"",_xlpm.val))</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cm="1">
        <f t="array" ref="N706">_xlfn.SWITCH(I706,"rob","Robusta","exc","Excelsa","Ara","Arabica","Lib","Liberica","")</f>
        <v>Excelsa</v>
      </c>
      <c r="O706" t="str" cm="1">
        <f t="array" ref="O706">_xlfn.SWITCH(J706,"M","Medium","D","Dark","L","Light")</f>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_xlfn.LET(_xlpm.val,_xlfn.XLOOKUP(C707,customers!$A$1:$A$1001,customers!$C$1:$C$1001,,0),IF(_xlpm.val=0,"",_xlpm.val))</f>
        <v>sgehringjl@gnu.org</v>
      </c>
      <c r="H707" s="2" t="str">
        <f>_xlfn.LET(_xlpm.val,_xlfn.XLOOKUP(C707,customers!$A$1:$A$1001,customers!$G$1:$G$1001,,0),IF(_xlpm.val=0,"",_xlpm.val))</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L707*E707</f>
        <v>17.82</v>
      </c>
      <c r="N707" t="str" cm="1">
        <f t="array" ref="N707">_xlfn.SWITCH(I707,"rob","Robusta","exc","Excelsa","Ara","Arabica","Lib","Liberica","")</f>
        <v>Excelsa</v>
      </c>
      <c r="O707" t="str" cm="1">
        <f t="array" ref="O707">_xlfn.SWITCH(J707,"M","Medium","D","Dark","L","Light")</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_xlfn.LET(_xlpm.val,_xlfn.XLOOKUP(C708,customers!$A$1:$A$1001,customers!$C$1:$C$1001,,0),IF(_xlpm.val=0,"",_xlpm.val))</f>
        <v>bfallowesjm@purevolume.com</v>
      </c>
      <c r="H708" s="2" t="str">
        <f>_xlfn.LET(_xlpm.val,_xlfn.XLOOKUP(C708,customers!$A$1:$A$1001,customers!$G$1:$G$1001,,0),IF(_xlpm.val=0,"",_xlpm.val))</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cm="1">
        <f t="array" ref="N708">_xlfn.SWITCH(I708,"rob","Robusta","exc","Excelsa","Ara","Arabica","Lib","Liberica","")</f>
        <v>Excelsa</v>
      </c>
      <c r="O708" t="str" cm="1">
        <f t="array" ref="O708">_xlfn.SWITCH(J708,"M","Medium","D","Dark","L","Light")</f>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_xlfn.LET(_xlpm.val,_xlfn.XLOOKUP(C709,customers!$A$1:$A$1001,customers!$C$1:$C$1001,,0),IF(_xlpm.val=0,"",_xlpm.val))</f>
        <v/>
      </c>
      <c r="H709" s="2" t="str">
        <f>_xlfn.LET(_xlpm.val,_xlfn.XLOOKUP(C709,customers!$A$1:$A$1001,customers!$G$1:$G$1001,,0),IF(_xlpm.val=0,"",_xlpm.val))</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cm="1">
        <f t="array" ref="N709">_xlfn.SWITCH(I709,"rob","Robusta","exc","Excelsa","Ara","Arabica","Lib","Liberica","")</f>
        <v>Liberica</v>
      </c>
      <c r="O709" t="str" cm="1">
        <f t="array" ref="O709">_xlfn.SWITCH(J709,"M","Medium","D","Dark","L","Light")</f>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_xlfn.LET(_xlpm.val,_xlfn.XLOOKUP(C710,customers!$A$1:$A$1001,customers!$C$1:$C$1001,,0),IF(_xlpm.val=0,"",_xlpm.val))</f>
        <v>sdejo@newsvine.com</v>
      </c>
      <c r="H710" s="2" t="str">
        <f>_xlfn.LET(_xlpm.val,_xlfn.XLOOKUP(C710,customers!$A$1:$A$1001,customers!$G$1:$G$1001,,0),IF(_xlpm.val=0,"",_xlpm.val))</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cm="1">
        <f t="array" ref="N710">_xlfn.SWITCH(I710,"rob","Robusta","exc","Excelsa","Ara","Arabica","Lib","Liberica","")</f>
        <v>Arabica</v>
      </c>
      <c r="O710" t="str" cm="1">
        <f t="array" ref="O710">_xlfn.SWITCH(J710,"M","Medium","D","Dark","L","Light")</f>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_xlfn.LET(_xlpm.val,_xlfn.XLOOKUP(C711,customers!$A$1:$A$1001,customers!$C$1:$C$1001,,0),IF(_xlpm.val=0,"",_xlpm.val))</f>
        <v/>
      </c>
      <c r="H711" s="2" t="str">
        <f>_xlfn.LET(_xlpm.val,_xlfn.XLOOKUP(C711,customers!$A$1:$A$1001,customers!$G$1:$G$1001,,0),IF(_xlpm.val=0,"",_xlpm.val))</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cm="1">
        <f t="array" ref="N711">_xlfn.SWITCH(I711,"rob","Robusta","exc","Excelsa","Ara","Arabica","Lib","Liberica","")</f>
        <v>Excelsa</v>
      </c>
      <c r="O711" t="str" cm="1">
        <f t="array" ref="O711">_xlfn.SWITCH(J711,"M","Medium","D","Dark","L","Light")</f>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_xlfn.LET(_xlpm.val,_xlfn.XLOOKUP(C712,customers!$A$1:$A$1001,customers!$C$1:$C$1001,,0),IF(_xlpm.val=0,"",_xlpm.val))</f>
        <v>scountjq@nba.com</v>
      </c>
      <c r="H712" s="2" t="str">
        <f>_xlfn.LET(_xlpm.val,_xlfn.XLOOKUP(C712,customers!$A$1:$A$1001,customers!$G$1:$G$1001,,0),IF(_xlpm.val=0,"",_xlpm.val))</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cm="1">
        <f t="array" ref="N712">_xlfn.SWITCH(I712,"rob","Robusta","exc","Excelsa","Ara","Arabica","Lib","Liberica","")</f>
        <v>Excelsa</v>
      </c>
      <c r="O712" t="str" cm="1">
        <f t="array" ref="O712">_xlfn.SWITCH(J712,"M","Medium","D","Dark","L","Light")</f>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_xlfn.LET(_xlpm.val,_xlfn.XLOOKUP(C713,customers!$A$1:$A$1001,customers!$C$1:$C$1001,,0),IF(_xlpm.val=0,"",_xlpm.val))</f>
        <v>sraglesjr@blogtalkradio.com</v>
      </c>
      <c r="H713" s="2" t="str">
        <f>_xlfn.LET(_xlpm.val,_xlfn.XLOOKUP(C713,customers!$A$1:$A$1001,customers!$G$1:$G$1001,,0),IF(_xlpm.val=0,"",_xlpm.val))</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cm="1">
        <f t="array" ref="N713">_xlfn.SWITCH(I713,"rob","Robusta","exc","Excelsa","Ara","Arabica","Lib","Liberica","")</f>
        <v>Robusta</v>
      </c>
      <c r="O713" t="str" cm="1">
        <f t="array" ref="O713">_xlfn.SWITCH(J713,"M","Medium","D","Dark","L","Light")</f>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_xlfn.LET(_xlpm.val,_xlfn.XLOOKUP(C714,customers!$A$1:$A$1001,customers!$C$1:$C$1001,,0),IF(_xlpm.val=0,"",_xlpm.val))</f>
        <v/>
      </c>
      <c r="H714" s="2" t="str">
        <f>_xlfn.LET(_xlpm.val,_xlfn.XLOOKUP(C714,customers!$A$1:$A$1001,customers!$G$1:$G$1001,,0),IF(_xlpm.val=0,"",_xlpm.val))</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cm="1">
        <f t="array" ref="N714">_xlfn.SWITCH(I714,"rob","Robusta","exc","Excelsa","Ara","Arabica","Lib","Liberica","")</f>
        <v>Excelsa</v>
      </c>
      <c r="O714" t="str" cm="1">
        <f t="array" ref="O714">_xlfn.SWITCH(J714,"M","Medium","D","Dark","L","Light")</f>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_xlfn.LET(_xlpm.val,_xlfn.XLOOKUP(C715,customers!$A$1:$A$1001,customers!$C$1:$C$1001,,0),IF(_xlpm.val=0,"",_xlpm.val))</f>
        <v>sbruunjt@blogtalkradio.com</v>
      </c>
      <c r="H715" s="2" t="str">
        <f>_xlfn.LET(_xlpm.val,_xlfn.XLOOKUP(C715,customers!$A$1:$A$1001,customers!$G$1:$G$1001,,0),IF(_xlpm.val=0,"",_xlpm.val))</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cm="1">
        <f t="array" ref="N715">_xlfn.SWITCH(I715,"rob","Robusta","exc","Excelsa","Ara","Arabica","Lib","Liberica","")</f>
        <v>Robusta</v>
      </c>
      <c r="O715" t="str" cm="1">
        <f t="array" ref="O715">_xlfn.SWITCH(J715,"M","Medium","D","Dark","L","Light")</f>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_xlfn.LET(_xlpm.val,_xlfn.XLOOKUP(C716,customers!$A$1:$A$1001,customers!$C$1:$C$1001,,0),IF(_xlpm.val=0,"",_xlpm.val))</f>
        <v>aplluju@dagondesign.com</v>
      </c>
      <c r="H716" s="2" t="str">
        <f>_xlfn.LET(_xlpm.val,_xlfn.XLOOKUP(C716,customers!$A$1:$A$1001,customers!$G$1:$G$1001,,0),IF(_xlpm.val=0,"",_xlpm.val))</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cm="1">
        <f t="array" ref="N716">_xlfn.SWITCH(I716,"rob","Robusta","exc","Excelsa","Ara","Arabica","Lib","Liberica","")</f>
        <v>Excelsa</v>
      </c>
      <c r="O716" t="str" cm="1">
        <f t="array" ref="O716">_xlfn.SWITCH(J716,"M","Medium","D","Dark","L","Light")</f>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_xlfn.LET(_xlpm.val,_xlfn.XLOOKUP(C717,customers!$A$1:$A$1001,customers!$C$1:$C$1001,,0),IF(_xlpm.val=0,"",_xlpm.val))</f>
        <v>gcornierjv@techcrunch.com</v>
      </c>
      <c r="H717" s="2" t="str">
        <f>_xlfn.LET(_xlpm.val,_xlfn.XLOOKUP(C717,customers!$A$1:$A$1001,customers!$G$1:$G$1001,,0),IF(_xlpm.val=0,"",_xlpm.val))</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cm="1">
        <f t="array" ref="N717">_xlfn.SWITCH(I717,"rob","Robusta","exc","Excelsa","Ara","Arabica","Lib","Liberica","")</f>
        <v>Excelsa</v>
      </c>
      <c r="O717" t="str" cm="1">
        <f t="array" ref="O717">_xlfn.SWITCH(J717,"M","Medium","D","Dark","L","Light")</f>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_xlfn.LET(_xlpm.val,_xlfn.XLOOKUP(C718,customers!$A$1:$A$1001,customers!$C$1:$C$1001,,0),IF(_xlpm.val=0,"",_xlpm.val))</f>
        <v>jdymokeje@prnewswire.com</v>
      </c>
      <c r="H718" s="2" t="str">
        <f>_xlfn.LET(_xlpm.val,_xlfn.XLOOKUP(C718,customers!$A$1:$A$1001,customers!$G$1:$G$1001,,0),IF(_xlpm.val=0,"",_xlpm.val))</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cm="1">
        <f t="array" ref="N718">_xlfn.SWITCH(I718,"rob","Robusta","exc","Excelsa","Ara","Arabica","Lib","Liberica","")</f>
        <v>Robusta</v>
      </c>
      <c r="O718" t="str" cm="1">
        <f t="array" ref="O718">_xlfn.SWITCH(J718,"M","Medium","D","Dark","L","Light")</f>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_xlfn.LET(_xlpm.val,_xlfn.XLOOKUP(C719,customers!$A$1:$A$1001,customers!$C$1:$C$1001,,0),IF(_xlpm.val=0,"",_xlpm.val))</f>
        <v>wharvisonjx@gizmodo.com</v>
      </c>
      <c r="H719" s="2" t="str">
        <f>_xlfn.LET(_xlpm.val,_xlfn.XLOOKUP(C719,customers!$A$1:$A$1001,customers!$G$1:$G$1001,,0),IF(_xlpm.val=0,"",_xlpm.val))</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cm="1">
        <f t="array" ref="N719">_xlfn.SWITCH(I719,"rob","Robusta","exc","Excelsa","Ara","Arabica","Lib","Liberica","")</f>
        <v>Arabica</v>
      </c>
      <c r="O719" t="str" cm="1">
        <f t="array" ref="O719">_xlfn.SWITCH(J719,"M","Medium","D","Dark","L","Light")</f>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_xlfn.LET(_xlpm.val,_xlfn.XLOOKUP(C720,customers!$A$1:$A$1001,customers!$C$1:$C$1001,,0),IF(_xlpm.val=0,"",_xlpm.val))</f>
        <v>dheafordjy@twitpic.com</v>
      </c>
      <c r="H720" s="2" t="str">
        <f>_xlfn.LET(_xlpm.val,_xlfn.XLOOKUP(C720,customers!$A$1:$A$1001,customers!$G$1:$G$1001,,0),IF(_xlpm.val=0,"",_xlpm.val))</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cm="1">
        <f t="array" ref="N720">_xlfn.SWITCH(I720,"rob","Robusta","exc","Excelsa","Ara","Arabica","Lib","Liberica","")</f>
        <v>Liberica</v>
      </c>
      <c r="O720" t="str" cm="1">
        <f t="array" ref="O720">_xlfn.SWITCH(J720,"M","Medium","D","Dark","L","Light")</f>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_xlfn.LET(_xlpm.val,_xlfn.XLOOKUP(C721,customers!$A$1:$A$1001,customers!$C$1:$C$1001,,0),IF(_xlpm.val=0,"",_xlpm.val))</f>
        <v>gfanthamjz@hexun.com</v>
      </c>
      <c r="H721" s="2" t="str">
        <f>_xlfn.LET(_xlpm.val,_xlfn.XLOOKUP(C721,customers!$A$1:$A$1001,customers!$G$1:$G$1001,,0),IF(_xlpm.val=0,"",_xlpm.val))</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cm="1">
        <f t="array" ref="N721">_xlfn.SWITCH(I721,"rob","Robusta","exc","Excelsa","Ara","Arabica","Lib","Liberica","")</f>
        <v>Liberica</v>
      </c>
      <c r="O721" t="str" cm="1">
        <f t="array" ref="O721">_xlfn.SWITCH(J721,"M","Medium","D","Dark","L","Light")</f>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_xlfn.LET(_xlpm.val,_xlfn.XLOOKUP(C722,customers!$A$1:$A$1001,customers!$C$1:$C$1001,,0),IF(_xlpm.val=0,"",_xlpm.val))</f>
        <v>rcrookshanksk0@unc.edu</v>
      </c>
      <c r="H722" s="2" t="str">
        <f>_xlfn.LET(_xlpm.val,_xlfn.XLOOKUP(C722,customers!$A$1:$A$1001,customers!$G$1:$G$1001,,0),IF(_xlpm.val=0,"",_xlpm.val))</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cm="1">
        <f t="array" ref="N722">_xlfn.SWITCH(I722,"rob","Robusta","exc","Excelsa","Ara","Arabica","Lib","Liberica","")</f>
        <v>Excelsa</v>
      </c>
      <c r="O722" t="str" cm="1">
        <f t="array" ref="O722">_xlfn.SWITCH(J722,"M","Medium","D","Dark","L","Light")</f>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_xlfn.LET(_xlpm.val,_xlfn.XLOOKUP(C723,customers!$A$1:$A$1001,customers!$C$1:$C$1001,,0),IF(_xlpm.val=0,"",_xlpm.val))</f>
        <v>nleakek1@cmu.edu</v>
      </c>
      <c r="H723" s="2" t="str">
        <f>_xlfn.LET(_xlpm.val,_xlfn.XLOOKUP(C723,customers!$A$1:$A$1001,customers!$G$1:$G$1001,,0),IF(_xlpm.val=0,"",_xlpm.val))</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cm="1">
        <f t="array" ref="N723">_xlfn.SWITCH(I723,"rob","Robusta","exc","Excelsa","Ara","Arabica","Lib","Liberica","")</f>
        <v>Robusta</v>
      </c>
      <c r="O723" t="str" cm="1">
        <f t="array" ref="O723">_xlfn.SWITCH(J723,"M","Medium","D","Dark","L","Light")</f>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_xlfn.LET(_xlpm.val,_xlfn.XLOOKUP(C724,customers!$A$1:$A$1001,customers!$C$1:$C$1001,,0),IF(_xlpm.val=0,"",_xlpm.val))</f>
        <v/>
      </c>
      <c r="H724" s="2" t="str">
        <f>_xlfn.LET(_xlpm.val,_xlfn.XLOOKUP(C724,customers!$A$1:$A$1001,customers!$G$1:$G$1001,,0),IF(_xlpm.val=0,"",_xlpm.val))</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cm="1">
        <f t="array" ref="N724">_xlfn.SWITCH(I724,"rob","Robusta","exc","Excelsa","Ara","Arabica","Lib","Liberica","")</f>
        <v>Excelsa</v>
      </c>
      <c r="O724" t="str" cm="1">
        <f t="array" ref="O724">_xlfn.SWITCH(J724,"M","Medium","D","Dark","L","Light")</f>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_xlfn.LET(_xlpm.val,_xlfn.XLOOKUP(C725,customers!$A$1:$A$1001,customers!$C$1:$C$1001,,0),IF(_xlpm.val=0,"",_xlpm.val))</f>
        <v>geilhersenk3@networksolutions.com</v>
      </c>
      <c r="H725" s="2" t="str">
        <f>_xlfn.LET(_xlpm.val,_xlfn.XLOOKUP(C725,customers!$A$1:$A$1001,customers!$G$1:$G$1001,,0),IF(_xlpm.val=0,"",_xlpm.val))</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cm="1">
        <f t="array" ref="N725">_xlfn.SWITCH(I725,"rob","Robusta","exc","Excelsa","Ara","Arabica","Lib","Liberica","")</f>
        <v>Excelsa</v>
      </c>
      <c r="O725" t="str" cm="1">
        <f t="array" ref="O725">_xlfn.SWITCH(J725,"M","Medium","D","Dark","L","Light")</f>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_xlfn.LET(_xlpm.val,_xlfn.XLOOKUP(C726,customers!$A$1:$A$1001,customers!$C$1:$C$1001,,0),IF(_xlpm.val=0,"",_xlpm.val))</f>
        <v/>
      </c>
      <c r="H726" s="2" t="str">
        <f>_xlfn.LET(_xlpm.val,_xlfn.XLOOKUP(C726,customers!$A$1:$A$1001,customers!$G$1:$G$1001,,0),IF(_xlpm.val=0,"",_xlpm.val))</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cm="1">
        <f t="array" ref="N726">_xlfn.SWITCH(I726,"rob","Robusta","exc","Excelsa","Ara","Arabica","Lib","Liberica","")</f>
        <v>Arabica</v>
      </c>
      <c r="O726" t="str" cm="1">
        <f t="array" ref="O726">_xlfn.SWITCH(J726,"M","Medium","D","Dark","L","Light")</f>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_xlfn.LET(_xlpm.val,_xlfn.XLOOKUP(C727,customers!$A$1:$A$1001,customers!$C$1:$C$1001,,0),IF(_xlpm.val=0,"",_xlpm.val))</f>
        <v>caleixok5@globo.com</v>
      </c>
      <c r="H727" s="2" t="str">
        <f>_xlfn.LET(_xlpm.val,_xlfn.XLOOKUP(C727,customers!$A$1:$A$1001,customers!$G$1:$G$1001,,0),IF(_xlpm.val=0,"",_xlpm.val))</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cm="1">
        <f t="array" ref="N727">_xlfn.SWITCH(I727,"rob","Robusta","exc","Excelsa","Ara","Arabica","Lib","Liberica","")</f>
        <v>Arabica</v>
      </c>
      <c r="O727" t="str" cm="1">
        <f t="array" ref="O727">_xlfn.SWITCH(J727,"M","Medium","D","Dark","L","Light")</f>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_xlfn.LET(_xlpm.val,_xlfn.XLOOKUP(C728,customers!$A$1:$A$1001,customers!$C$1:$C$1001,,0),IF(_xlpm.val=0,"",_xlpm.val))</f>
        <v/>
      </c>
      <c r="H728" s="2" t="str">
        <f>_xlfn.LET(_xlpm.val,_xlfn.XLOOKUP(C728,customers!$A$1:$A$1001,customers!$G$1:$G$1001,,0),IF(_xlpm.val=0,"",_xlpm.val))</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cm="1">
        <f t="array" ref="N728">_xlfn.SWITCH(I728,"rob","Robusta","exc","Excelsa","Ara","Arabica","Lib","Liberica","")</f>
        <v>Liberica</v>
      </c>
      <c r="O728" t="str" cm="1">
        <f t="array" ref="O728">_xlfn.SWITCH(J728,"M","Medium","D","Dark","L","Light")</f>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_xlfn.LET(_xlpm.val,_xlfn.XLOOKUP(C729,customers!$A$1:$A$1001,customers!$C$1:$C$1001,,0),IF(_xlpm.val=0,"",_xlpm.val))</f>
        <v>rtomkowiczk7@bravesites.com</v>
      </c>
      <c r="H729" s="2" t="str">
        <f>_xlfn.LET(_xlpm.val,_xlfn.XLOOKUP(C729,customers!$A$1:$A$1001,customers!$G$1:$G$1001,,0),IF(_xlpm.val=0,"",_xlpm.val))</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cm="1">
        <f t="array" ref="N729">_xlfn.SWITCH(I729,"rob","Robusta","exc","Excelsa","Ara","Arabica","Lib","Liberica","")</f>
        <v>Robusta</v>
      </c>
      <c r="O729" t="str" cm="1">
        <f t="array" ref="O729">_xlfn.SWITCH(J729,"M","Medium","D","Dark","L","Light")</f>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_xlfn.LET(_xlpm.val,_xlfn.XLOOKUP(C730,customers!$A$1:$A$1001,customers!$C$1:$C$1001,,0),IF(_xlpm.val=0,"",_xlpm.val))</f>
        <v>rhuscroftk8@jimdo.com</v>
      </c>
      <c r="H730" s="2" t="str">
        <f>_xlfn.LET(_xlpm.val,_xlfn.XLOOKUP(C730,customers!$A$1:$A$1001,customers!$G$1:$G$1001,,0),IF(_xlpm.val=0,"",_xlpm.val))</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cm="1">
        <f t="array" ref="N730">_xlfn.SWITCH(I730,"rob","Robusta","exc","Excelsa","Ara","Arabica","Lib","Liberica","")</f>
        <v>Excelsa</v>
      </c>
      <c r="O730" t="str" cm="1">
        <f t="array" ref="O730">_xlfn.SWITCH(J730,"M","Medium","D","Dark","L","Light")</f>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_xlfn.LET(_xlpm.val,_xlfn.XLOOKUP(C731,customers!$A$1:$A$1001,customers!$C$1:$C$1001,,0),IF(_xlpm.val=0,"",_xlpm.val))</f>
        <v>sscurrerk9@flavors.me</v>
      </c>
      <c r="H731" s="2" t="str">
        <f>_xlfn.LET(_xlpm.val,_xlfn.XLOOKUP(C731,customers!$A$1:$A$1001,customers!$G$1:$G$1001,,0),IF(_xlpm.val=0,"",_xlpm.val))</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cm="1">
        <f t="array" ref="N731">_xlfn.SWITCH(I731,"rob","Robusta","exc","Excelsa","Ara","Arabica","Lib","Liberica","")</f>
        <v>Liberica</v>
      </c>
      <c r="O731" t="str" cm="1">
        <f t="array" ref="O731">_xlfn.SWITCH(J731,"M","Medium","D","Dark","L","Light")</f>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_xlfn.LET(_xlpm.val,_xlfn.XLOOKUP(C732,customers!$A$1:$A$1001,customers!$C$1:$C$1001,,0),IF(_xlpm.val=0,"",_xlpm.val))</f>
        <v>arudramka@prnewswire.com</v>
      </c>
      <c r="H732" s="2" t="str">
        <f>_xlfn.LET(_xlpm.val,_xlfn.XLOOKUP(C732,customers!$A$1:$A$1001,customers!$G$1:$G$1001,,0),IF(_xlpm.val=0,"",_xlpm.val))</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cm="1">
        <f t="array" ref="N732">_xlfn.SWITCH(I732,"rob","Robusta","exc","Excelsa","Ara","Arabica","Lib","Liberica","")</f>
        <v>Liberica</v>
      </c>
      <c r="O732" t="str" cm="1">
        <f t="array" ref="O732">_xlfn.SWITCH(J732,"M","Medium","D","Dark","L","Light")</f>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_xlfn.LET(_xlpm.val,_xlfn.XLOOKUP(C733,customers!$A$1:$A$1001,customers!$C$1:$C$1001,,0),IF(_xlpm.val=0,"",_xlpm.val))</f>
        <v/>
      </c>
      <c r="H733" s="2" t="str">
        <f>_xlfn.LET(_xlpm.val,_xlfn.XLOOKUP(C733,customers!$A$1:$A$1001,customers!$G$1:$G$1001,,0),IF(_xlpm.val=0,"",_xlpm.val))</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cm="1">
        <f t="array" ref="N733">_xlfn.SWITCH(I733,"rob","Robusta","exc","Excelsa","Ara","Arabica","Lib","Liberica","")</f>
        <v>Liberica</v>
      </c>
      <c r="O733" t="str" cm="1">
        <f t="array" ref="O733">_xlfn.SWITCH(J733,"M","Medium","D","Dark","L","Light")</f>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_xlfn.LET(_xlpm.val,_xlfn.XLOOKUP(C734,customers!$A$1:$A$1001,customers!$C$1:$C$1001,,0),IF(_xlpm.val=0,"",_xlpm.val))</f>
        <v>jmahakc@cyberchimps.com</v>
      </c>
      <c r="H734" s="2" t="str">
        <f>_xlfn.LET(_xlpm.val,_xlfn.XLOOKUP(C734,customers!$A$1:$A$1001,customers!$G$1:$G$1001,,0),IF(_xlpm.val=0,"",_xlpm.val))</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cm="1">
        <f t="array" ref="N734">_xlfn.SWITCH(I734,"rob","Robusta","exc","Excelsa","Ara","Arabica","Lib","Liberica","")</f>
        <v>Excelsa</v>
      </c>
      <c r="O734" t="str" cm="1">
        <f t="array" ref="O734">_xlfn.SWITCH(J734,"M","Medium","D","Dark","L","Light")</f>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_xlfn.LET(_xlpm.val,_xlfn.XLOOKUP(C735,customers!$A$1:$A$1001,customers!$C$1:$C$1001,,0),IF(_xlpm.val=0,"",_xlpm.val))</f>
        <v>gclemonkd@networksolutions.com</v>
      </c>
      <c r="H735" s="2" t="str">
        <f>_xlfn.LET(_xlpm.val,_xlfn.XLOOKUP(C735,customers!$A$1:$A$1001,customers!$G$1:$G$1001,,0),IF(_xlpm.val=0,"",_xlpm.val))</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cm="1">
        <f t="array" ref="N735">_xlfn.SWITCH(I735,"rob","Robusta","exc","Excelsa","Ara","Arabica","Lib","Liberica","")</f>
        <v>Liberica</v>
      </c>
      <c r="O735" t="str" cm="1">
        <f t="array" ref="O735">_xlfn.SWITCH(J735,"M","Medium","D","Dark","L","Light")</f>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_xlfn.LET(_xlpm.val,_xlfn.XLOOKUP(C736,customers!$A$1:$A$1001,customers!$C$1:$C$1001,,0),IF(_xlpm.val=0,"",_xlpm.val))</f>
        <v/>
      </c>
      <c r="H736" s="2" t="str">
        <f>_xlfn.LET(_xlpm.val,_xlfn.XLOOKUP(C736,customers!$A$1:$A$1001,customers!$G$1:$G$1001,,0),IF(_xlpm.val=0,"",_xlpm.val))</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cm="1">
        <f t="array" ref="N736">_xlfn.SWITCH(I736,"rob","Robusta","exc","Excelsa","Ara","Arabica","Lib","Liberica","")</f>
        <v>Robusta</v>
      </c>
      <c r="O736" t="str" cm="1">
        <f t="array" ref="O736">_xlfn.SWITCH(J736,"M","Medium","D","Dark","L","Light")</f>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_xlfn.LET(_xlpm.val,_xlfn.XLOOKUP(C737,customers!$A$1:$A$1001,customers!$C$1:$C$1001,,0),IF(_xlpm.val=0,"",_xlpm.val))</f>
        <v>bpollinskf@shinystat.com</v>
      </c>
      <c r="H737" s="2" t="str">
        <f>_xlfn.LET(_xlpm.val,_xlfn.XLOOKUP(C737,customers!$A$1:$A$1001,customers!$G$1:$G$1001,,0),IF(_xlpm.val=0,"",_xlpm.val))</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cm="1">
        <f t="array" ref="N737">_xlfn.SWITCH(I737,"rob","Robusta","exc","Excelsa","Ara","Arabica","Lib","Liberica","")</f>
        <v>Excelsa</v>
      </c>
      <c r="O737" t="str" cm="1">
        <f t="array" ref="O737">_xlfn.SWITCH(J737,"M","Medium","D","Dark","L","Light")</f>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_xlfn.LET(_xlpm.val,_xlfn.XLOOKUP(C738,customers!$A$1:$A$1001,customers!$C$1:$C$1001,,0),IF(_xlpm.val=0,"",_xlpm.val))</f>
        <v>jtoyekg@pinterest.com</v>
      </c>
      <c r="H738" s="2" t="str">
        <f>_xlfn.LET(_xlpm.val,_xlfn.XLOOKUP(C738,customers!$A$1:$A$1001,customers!$G$1:$G$1001,,0),IF(_xlpm.val=0,"",_xlpm.val))</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cm="1">
        <f t="array" ref="N738">_xlfn.SWITCH(I738,"rob","Robusta","exc","Excelsa","Ara","Arabica","Lib","Liberica","")</f>
        <v>Liberica</v>
      </c>
      <c r="O738" t="str" cm="1">
        <f t="array" ref="O738">_xlfn.SWITCH(J738,"M","Medium","D","Dark","L","Light")</f>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_xlfn.LET(_xlpm.val,_xlfn.XLOOKUP(C739,customers!$A$1:$A$1001,customers!$C$1:$C$1001,,0),IF(_xlpm.val=0,"",_xlpm.val))</f>
        <v>clinskillkh@sphinn.com</v>
      </c>
      <c r="H739" s="2" t="str">
        <f>_xlfn.LET(_xlpm.val,_xlfn.XLOOKUP(C739,customers!$A$1:$A$1001,customers!$G$1:$G$1001,,0),IF(_xlpm.val=0,"",_xlpm.val))</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cm="1">
        <f t="array" ref="N739">_xlfn.SWITCH(I739,"rob","Robusta","exc","Excelsa","Ara","Arabica","Lib","Liberica","")</f>
        <v>Arabica</v>
      </c>
      <c r="O739" t="str" cm="1">
        <f t="array" ref="O739">_xlfn.SWITCH(J739,"M","Medium","D","Dark","L","Light")</f>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_xlfn.LET(_xlpm.val,_xlfn.XLOOKUP(C740,customers!$A$1:$A$1001,customers!$C$1:$C$1001,,0),IF(_xlpm.val=0,"",_xlpm.val))</f>
        <v>nvigrasski@ezinearticles.com</v>
      </c>
      <c r="H740" s="2" t="str">
        <f>_xlfn.LET(_xlpm.val,_xlfn.XLOOKUP(C740,customers!$A$1:$A$1001,customers!$G$1:$G$1001,,0),IF(_xlpm.val=0,"",_xlpm.val))</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cm="1">
        <f t="array" ref="N740">_xlfn.SWITCH(I740,"rob","Robusta","exc","Excelsa","Ara","Arabica","Lib","Liberica","")</f>
        <v>Robusta</v>
      </c>
      <c r="O740" t="str" cm="1">
        <f t="array" ref="O740">_xlfn.SWITCH(J740,"M","Medium","D","Dark","L","Light")</f>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_xlfn.LET(_xlpm.val,_xlfn.XLOOKUP(C741,customers!$A$1:$A$1001,customers!$C$1:$C$1001,,0),IF(_xlpm.val=0,"",_xlpm.val))</f>
        <v>jdymokeje@prnewswire.com</v>
      </c>
      <c r="H741" s="2" t="str">
        <f>_xlfn.LET(_xlpm.val,_xlfn.XLOOKUP(C741,customers!$A$1:$A$1001,customers!$G$1:$G$1001,,0),IF(_xlpm.val=0,"",_xlpm.val))</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cm="1">
        <f t="array" ref="N741">_xlfn.SWITCH(I741,"rob","Robusta","exc","Excelsa","Ara","Arabica","Lib","Liberica","")</f>
        <v>Excelsa</v>
      </c>
      <c r="O741" t="str" cm="1">
        <f t="array" ref="O741">_xlfn.SWITCH(J741,"M","Medium","D","Dark","L","Light")</f>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_xlfn.LET(_xlpm.val,_xlfn.XLOOKUP(C742,customers!$A$1:$A$1001,customers!$C$1:$C$1001,,0),IF(_xlpm.val=0,"",_xlpm.val))</f>
        <v>kcragellkk@google.com</v>
      </c>
      <c r="H742" s="2" t="str">
        <f>_xlfn.LET(_xlpm.val,_xlfn.XLOOKUP(C742,customers!$A$1:$A$1001,customers!$G$1:$G$1001,,0),IF(_xlpm.val=0,"",_xlpm.val))</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cm="1">
        <f t="array" ref="N742">_xlfn.SWITCH(I742,"rob","Robusta","exc","Excelsa","Ara","Arabica","Lib","Liberica","")</f>
        <v>Robusta</v>
      </c>
      <c r="O742" t="str" cm="1">
        <f t="array" ref="O742">_xlfn.SWITCH(J742,"M","Medium","D","Dark","L","Light")</f>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_xlfn.LET(_xlpm.val,_xlfn.XLOOKUP(C743,customers!$A$1:$A$1001,customers!$C$1:$C$1001,,0),IF(_xlpm.val=0,"",_xlpm.val))</f>
        <v>libertkl@huffingtonpost.com</v>
      </c>
      <c r="H743" s="2" t="str">
        <f>_xlfn.LET(_xlpm.val,_xlfn.XLOOKUP(C743,customers!$A$1:$A$1001,customers!$G$1:$G$1001,,0),IF(_xlpm.val=0,"",_xlpm.val))</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cm="1">
        <f t="array" ref="N743">_xlfn.SWITCH(I743,"rob","Robusta","exc","Excelsa","Ara","Arabica","Lib","Liberica","")</f>
        <v>Liberica</v>
      </c>
      <c r="O743" t="str" cm="1">
        <f t="array" ref="O743">_xlfn.SWITCH(J743,"M","Medium","D","Dark","L","Light")</f>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_xlfn.LET(_xlpm.val,_xlfn.XLOOKUP(C744,customers!$A$1:$A$1001,customers!$C$1:$C$1001,,0),IF(_xlpm.val=0,"",_xlpm.val))</f>
        <v>rlidgeykm@vimeo.com</v>
      </c>
      <c r="H744" s="2" t="str">
        <f>_xlfn.LET(_xlpm.val,_xlfn.XLOOKUP(C744,customers!$A$1:$A$1001,customers!$G$1:$G$1001,,0),IF(_xlpm.val=0,"",_xlpm.val))</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cm="1">
        <f t="array" ref="N744">_xlfn.SWITCH(I744,"rob","Robusta","exc","Excelsa","Ara","Arabica","Lib","Liberica","")</f>
        <v>Liberica</v>
      </c>
      <c r="O744" t="str" cm="1">
        <f t="array" ref="O744">_xlfn.SWITCH(J744,"M","Medium","D","Dark","L","Light")</f>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_xlfn.LET(_xlpm.val,_xlfn.XLOOKUP(C745,customers!$A$1:$A$1001,customers!$C$1:$C$1001,,0),IF(_xlpm.val=0,"",_xlpm.val))</f>
        <v>tcastagnekn@wikia.com</v>
      </c>
      <c r="H745" s="2" t="str">
        <f>_xlfn.LET(_xlpm.val,_xlfn.XLOOKUP(C745,customers!$A$1:$A$1001,customers!$G$1:$G$1001,,0),IF(_xlpm.val=0,"",_xlpm.val))</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cm="1">
        <f t="array" ref="N745">_xlfn.SWITCH(I745,"rob","Robusta","exc","Excelsa","Ara","Arabica","Lib","Liberica","")</f>
        <v>Arabica</v>
      </c>
      <c r="O745" t="str" cm="1">
        <f t="array" ref="O745">_xlfn.SWITCH(J745,"M","Medium","D","Dark","L","Light")</f>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_xlfn.LET(_xlpm.val,_xlfn.XLOOKUP(C746,customers!$A$1:$A$1001,customers!$C$1:$C$1001,,0),IF(_xlpm.val=0,"",_xlpm.val))</f>
        <v/>
      </c>
      <c r="H746" s="2" t="str">
        <f>_xlfn.LET(_xlpm.val,_xlfn.XLOOKUP(C746,customers!$A$1:$A$1001,customers!$G$1:$G$1001,,0),IF(_xlpm.val=0,"",_xlpm.val))</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cm="1">
        <f t="array" ref="N746">_xlfn.SWITCH(I746,"rob","Robusta","exc","Excelsa","Ara","Arabica","Lib","Liberica","")</f>
        <v>Robusta</v>
      </c>
      <c r="O746" t="str" cm="1">
        <f t="array" ref="O746">_xlfn.SWITCH(J746,"M","Medium","D","Dark","L","Light")</f>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_xlfn.LET(_xlpm.val,_xlfn.XLOOKUP(C747,customers!$A$1:$A$1001,customers!$C$1:$C$1001,,0),IF(_xlpm.val=0,"",_xlpm.val))</f>
        <v>jhaldenkp@comcast.net</v>
      </c>
      <c r="H747" s="2" t="str">
        <f>_xlfn.LET(_xlpm.val,_xlfn.XLOOKUP(C747,customers!$A$1:$A$1001,customers!$G$1:$G$1001,,0),IF(_xlpm.val=0,"",_xlpm.val))</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cm="1">
        <f t="array" ref="N747">_xlfn.SWITCH(I747,"rob","Robusta","exc","Excelsa","Ara","Arabica","Lib","Liberica","")</f>
        <v>Excelsa</v>
      </c>
      <c r="O747" t="str" cm="1">
        <f t="array" ref="O747">_xlfn.SWITCH(J747,"M","Medium","D","Dark","L","Light")</f>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_xlfn.LET(_xlpm.val,_xlfn.XLOOKUP(C748,customers!$A$1:$A$1001,customers!$C$1:$C$1001,,0),IF(_xlpm.val=0,"",_xlpm.val))</f>
        <v>holliffkq@sciencedirect.com</v>
      </c>
      <c r="H748" s="2" t="str">
        <f>_xlfn.LET(_xlpm.val,_xlfn.XLOOKUP(C748,customers!$A$1:$A$1001,customers!$G$1:$G$1001,,0),IF(_xlpm.val=0,"",_xlpm.val))</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cm="1">
        <f t="array" ref="N748">_xlfn.SWITCH(I748,"rob","Robusta","exc","Excelsa","Ara","Arabica","Lib","Liberica","")</f>
        <v>Arabica</v>
      </c>
      <c r="O748" t="str" cm="1">
        <f t="array" ref="O748">_xlfn.SWITCH(J748,"M","Medium","D","Dark","L","Light")</f>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_xlfn.LET(_xlpm.val,_xlfn.XLOOKUP(C749,customers!$A$1:$A$1001,customers!$C$1:$C$1001,,0),IF(_xlpm.val=0,"",_xlpm.val))</f>
        <v>tquadrikr@opensource.org</v>
      </c>
      <c r="H749" s="2" t="str">
        <f>_xlfn.LET(_xlpm.val,_xlfn.XLOOKUP(C749,customers!$A$1:$A$1001,customers!$G$1:$G$1001,,0),IF(_xlpm.val=0,"",_xlpm.val))</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cm="1">
        <f t="array" ref="N749">_xlfn.SWITCH(I749,"rob","Robusta","exc","Excelsa","Ara","Arabica","Lib","Liberica","")</f>
        <v>Liberica</v>
      </c>
      <c r="O749" t="str" cm="1">
        <f t="array" ref="O749">_xlfn.SWITCH(J749,"M","Medium","D","Dark","L","Light")</f>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_xlfn.LET(_xlpm.val,_xlfn.XLOOKUP(C750,customers!$A$1:$A$1001,customers!$C$1:$C$1001,,0),IF(_xlpm.val=0,"",_xlpm.val))</f>
        <v>feshmadeks@umn.edu</v>
      </c>
      <c r="H750" s="2" t="str">
        <f>_xlfn.LET(_xlpm.val,_xlfn.XLOOKUP(C750,customers!$A$1:$A$1001,customers!$G$1:$G$1001,,0),IF(_xlpm.val=0,"",_xlpm.val))</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cm="1">
        <f t="array" ref="N750">_xlfn.SWITCH(I750,"rob","Robusta","exc","Excelsa","Ara","Arabica","Lib","Liberica","")</f>
        <v>Excelsa</v>
      </c>
      <c r="O750" t="str" cm="1">
        <f t="array" ref="O750">_xlfn.SWITCH(J750,"M","Medium","D","Dark","L","Light")</f>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_xlfn.LET(_xlpm.val,_xlfn.XLOOKUP(C751,customers!$A$1:$A$1001,customers!$C$1:$C$1001,,0),IF(_xlpm.val=0,"",_xlpm.val))</f>
        <v>moilierkt@paginegialle.it</v>
      </c>
      <c r="H751" s="2" t="str">
        <f>_xlfn.LET(_xlpm.val,_xlfn.XLOOKUP(C751,customers!$A$1:$A$1001,customers!$G$1:$G$1001,,0),IF(_xlpm.val=0,"",_xlpm.val))</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cm="1">
        <f t="array" ref="N751">_xlfn.SWITCH(I751,"rob","Robusta","exc","Excelsa","Ara","Arabica","Lib","Liberica","")</f>
        <v>Robusta</v>
      </c>
      <c r="O751" t="str" cm="1">
        <f t="array" ref="O751">_xlfn.SWITCH(J751,"M","Medium","D","Dark","L","Light")</f>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_xlfn.LET(_xlpm.val,_xlfn.XLOOKUP(C752,customers!$A$1:$A$1001,customers!$C$1:$C$1001,,0),IF(_xlpm.val=0,"",_xlpm.val))</f>
        <v/>
      </c>
      <c r="H752" s="2" t="str">
        <f>_xlfn.LET(_xlpm.val,_xlfn.XLOOKUP(C752,customers!$A$1:$A$1001,customers!$G$1:$G$1001,,0),IF(_xlpm.val=0,"",_xlpm.val))</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cm="1">
        <f t="array" ref="N752">_xlfn.SWITCH(I752,"rob","Robusta","exc","Excelsa","Ara","Arabica","Lib","Liberica","")</f>
        <v>Robusta</v>
      </c>
      <c r="O752" t="str" cm="1">
        <f t="array" ref="O752">_xlfn.SWITCH(J752,"M","Medium","D","Dark","L","Light")</f>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_xlfn.LET(_xlpm.val,_xlfn.XLOOKUP(C753,customers!$A$1:$A$1001,customers!$C$1:$C$1001,,0),IF(_xlpm.val=0,"",_xlpm.val))</f>
        <v>vshoebothamkv@redcross.org</v>
      </c>
      <c r="H753" s="2" t="str">
        <f>_xlfn.LET(_xlpm.val,_xlfn.XLOOKUP(C753,customers!$A$1:$A$1001,customers!$G$1:$G$1001,,0),IF(_xlpm.val=0,"",_xlpm.val))</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cm="1">
        <f t="array" ref="N753">_xlfn.SWITCH(I753,"rob","Robusta","exc","Excelsa","Ara","Arabica","Lib","Liberica","")</f>
        <v>Liberica</v>
      </c>
      <c r="O753" t="str" cm="1">
        <f t="array" ref="O753">_xlfn.SWITCH(J753,"M","Medium","D","Dark","L","Light")</f>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_xlfn.LET(_xlpm.val,_xlfn.XLOOKUP(C754,customers!$A$1:$A$1001,customers!$C$1:$C$1001,,0),IF(_xlpm.val=0,"",_xlpm.val))</f>
        <v>bsterkekw@biblegateway.com</v>
      </c>
      <c r="H754" s="2" t="str">
        <f>_xlfn.LET(_xlpm.val,_xlfn.XLOOKUP(C754,customers!$A$1:$A$1001,customers!$G$1:$G$1001,,0),IF(_xlpm.val=0,"",_xlpm.val))</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cm="1">
        <f t="array" ref="N754">_xlfn.SWITCH(I754,"rob","Robusta","exc","Excelsa","Ara","Arabica","Lib","Liberica","")</f>
        <v>Excelsa</v>
      </c>
      <c r="O754" t="str" cm="1">
        <f t="array" ref="O754">_xlfn.SWITCH(J754,"M","Medium","D","Dark","L","Light")</f>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_xlfn.LET(_xlpm.val,_xlfn.XLOOKUP(C755,customers!$A$1:$A$1001,customers!$C$1:$C$1001,,0),IF(_xlpm.val=0,"",_xlpm.val))</f>
        <v>scaponkx@craigslist.org</v>
      </c>
      <c r="H755" s="2" t="str">
        <f>_xlfn.LET(_xlpm.val,_xlfn.XLOOKUP(C755,customers!$A$1:$A$1001,customers!$G$1:$G$1001,,0),IF(_xlpm.val=0,"",_xlpm.val))</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cm="1">
        <f t="array" ref="N755">_xlfn.SWITCH(I755,"rob","Robusta","exc","Excelsa","Ara","Arabica","Lib","Liberica","")</f>
        <v>Arabica</v>
      </c>
      <c r="O755" t="str" cm="1">
        <f t="array" ref="O755">_xlfn.SWITCH(J755,"M","Medium","D","Dark","L","Light")</f>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_xlfn.LET(_xlpm.val,_xlfn.XLOOKUP(C756,customers!$A$1:$A$1001,customers!$C$1:$C$1001,,0),IF(_xlpm.val=0,"",_xlpm.val))</f>
        <v>jdymokeje@prnewswire.com</v>
      </c>
      <c r="H756" s="2" t="str">
        <f>_xlfn.LET(_xlpm.val,_xlfn.XLOOKUP(C756,customers!$A$1:$A$1001,customers!$G$1:$G$1001,,0),IF(_xlpm.val=0,"",_xlpm.val))</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cm="1">
        <f t="array" ref="N756">_xlfn.SWITCH(I756,"rob","Robusta","exc","Excelsa","Ara","Arabica","Lib","Liberica","")</f>
        <v>Arabica</v>
      </c>
      <c r="O756" t="str" cm="1">
        <f t="array" ref="O756">_xlfn.SWITCH(J756,"M","Medium","D","Dark","L","Light")</f>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_xlfn.LET(_xlpm.val,_xlfn.XLOOKUP(C757,customers!$A$1:$A$1001,customers!$C$1:$C$1001,,0),IF(_xlpm.val=0,"",_xlpm.val))</f>
        <v>fconstancekz@ifeng.com</v>
      </c>
      <c r="H757" s="2" t="str">
        <f>_xlfn.LET(_xlpm.val,_xlfn.XLOOKUP(C757,customers!$A$1:$A$1001,customers!$G$1:$G$1001,,0),IF(_xlpm.val=0,"",_xlpm.val))</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cm="1">
        <f t="array" ref="N757">_xlfn.SWITCH(I757,"rob","Robusta","exc","Excelsa","Ara","Arabica","Lib","Liberica","")</f>
        <v>Liberica</v>
      </c>
      <c r="O757" t="str" cm="1">
        <f t="array" ref="O757">_xlfn.SWITCH(J757,"M","Medium","D","Dark","L","Light")</f>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_xlfn.LET(_xlpm.val,_xlfn.XLOOKUP(C758,customers!$A$1:$A$1001,customers!$C$1:$C$1001,,0),IF(_xlpm.val=0,"",_xlpm.val))</f>
        <v>fsulmanl0@washington.edu</v>
      </c>
      <c r="H758" s="2" t="str">
        <f>_xlfn.LET(_xlpm.val,_xlfn.XLOOKUP(C758,customers!$A$1:$A$1001,customers!$G$1:$G$1001,,0),IF(_xlpm.val=0,"",_xlpm.val))</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cm="1">
        <f t="array" ref="N758">_xlfn.SWITCH(I758,"rob","Robusta","exc","Excelsa","Ara","Arabica","Lib","Liberica","")</f>
        <v>Robusta</v>
      </c>
      <c r="O758" t="str" cm="1">
        <f t="array" ref="O758">_xlfn.SWITCH(J758,"M","Medium","D","Dark","L","Light")</f>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_xlfn.LET(_xlpm.val,_xlfn.XLOOKUP(C759,customers!$A$1:$A$1001,customers!$C$1:$C$1001,,0),IF(_xlpm.val=0,"",_xlpm.val))</f>
        <v>dhollymanl1@ibm.com</v>
      </c>
      <c r="H759" s="2" t="str">
        <f>_xlfn.LET(_xlpm.val,_xlfn.XLOOKUP(C759,customers!$A$1:$A$1001,customers!$G$1:$G$1001,,0),IF(_xlpm.val=0,"",_xlpm.val))</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cm="1">
        <f t="array" ref="N759">_xlfn.SWITCH(I759,"rob","Robusta","exc","Excelsa","Ara","Arabica","Lib","Liberica","")</f>
        <v>Arabica</v>
      </c>
      <c r="O759" t="str" cm="1">
        <f t="array" ref="O759">_xlfn.SWITCH(J759,"M","Medium","D","Dark","L","Light")</f>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_xlfn.LET(_xlpm.val,_xlfn.XLOOKUP(C760,customers!$A$1:$A$1001,customers!$C$1:$C$1001,,0),IF(_xlpm.val=0,"",_xlpm.val))</f>
        <v>lnardonil2@hao123.com</v>
      </c>
      <c r="H760" s="2" t="str">
        <f>_xlfn.LET(_xlpm.val,_xlfn.XLOOKUP(C760,customers!$A$1:$A$1001,customers!$G$1:$G$1001,,0),IF(_xlpm.val=0,"",_xlpm.val))</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cm="1">
        <f t="array" ref="N760">_xlfn.SWITCH(I760,"rob","Robusta","exc","Excelsa","Ara","Arabica","Lib","Liberica","")</f>
        <v>Robusta</v>
      </c>
      <c r="O760" t="str" cm="1">
        <f t="array" ref="O760">_xlfn.SWITCH(J760,"M","Medium","D","Dark","L","Light")</f>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_xlfn.LET(_xlpm.val,_xlfn.XLOOKUP(C761,customers!$A$1:$A$1001,customers!$C$1:$C$1001,,0),IF(_xlpm.val=0,"",_xlpm.val))</f>
        <v>dyarhaml3@moonfruit.com</v>
      </c>
      <c r="H761" s="2" t="str">
        <f>_xlfn.LET(_xlpm.val,_xlfn.XLOOKUP(C761,customers!$A$1:$A$1001,customers!$G$1:$G$1001,,0),IF(_xlpm.val=0,"",_xlpm.val))</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cm="1">
        <f t="array" ref="N761">_xlfn.SWITCH(I761,"rob","Robusta","exc","Excelsa","Ara","Arabica","Lib","Liberica","")</f>
        <v>Liberica</v>
      </c>
      <c r="O761" t="str" cm="1">
        <f t="array" ref="O761">_xlfn.SWITCH(J761,"M","Medium","D","Dark","L","Light")</f>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_xlfn.LET(_xlpm.val,_xlfn.XLOOKUP(C762,customers!$A$1:$A$1001,customers!$C$1:$C$1001,,0),IF(_xlpm.val=0,"",_xlpm.val))</f>
        <v>aferreal4@wikia.com</v>
      </c>
      <c r="H762" s="2" t="str">
        <f>_xlfn.LET(_xlpm.val,_xlfn.XLOOKUP(C762,customers!$A$1:$A$1001,customers!$G$1:$G$1001,,0),IF(_xlpm.val=0,"",_xlpm.val))</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cm="1">
        <f t="array" ref="N762">_xlfn.SWITCH(I762,"rob","Robusta","exc","Excelsa","Ara","Arabica","Lib","Liberica","")</f>
        <v>Excelsa</v>
      </c>
      <c r="O762" t="str" cm="1">
        <f t="array" ref="O762">_xlfn.SWITCH(J762,"M","Medium","D","Dark","L","Light")</f>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_xlfn.LET(_xlpm.val,_xlfn.XLOOKUP(C763,customers!$A$1:$A$1001,customers!$C$1:$C$1001,,0),IF(_xlpm.val=0,"",_xlpm.val))</f>
        <v>ckendrickl5@webnode.com</v>
      </c>
      <c r="H763" s="2" t="str">
        <f>_xlfn.LET(_xlpm.val,_xlfn.XLOOKUP(C763,customers!$A$1:$A$1001,customers!$G$1:$G$1001,,0),IF(_xlpm.val=0,"",_xlpm.val))</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cm="1">
        <f t="array" ref="N763">_xlfn.SWITCH(I763,"rob","Robusta","exc","Excelsa","Ara","Arabica","Lib","Liberica","")</f>
        <v>Excelsa</v>
      </c>
      <c r="O763" t="str" cm="1">
        <f t="array" ref="O763">_xlfn.SWITCH(J763,"M","Medium","D","Dark","L","Light")</f>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_xlfn.LET(_xlpm.val,_xlfn.XLOOKUP(C764,customers!$A$1:$A$1001,customers!$C$1:$C$1001,,0),IF(_xlpm.val=0,"",_xlpm.val))</f>
        <v>sdanilchikl6@mit.edu</v>
      </c>
      <c r="H764" s="2" t="str">
        <f>_xlfn.LET(_xlpm.val,_xlfn.XLOOKUP(C764,customers!$A$1:$A$1001,customers!$G$1:$G$1001,,0),IF(_xlpm.val=0,"",_xlpm.val))</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cm="1">
        <f t="array" ref="N764">_xlfn.SWITCH(I764,"rob","Robusta","exc","Excelsa","Ara","Arabica","Lib","Liberica","")</f>
        <v>Liberica</v>
      </c>
      <c r="O764" t="str" cm="1">
        <f t="array" ref="O764">_xlfn.SWITCH(J764,"M","Medium","D","Dark","L","Light")</f>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_xlfn.LET(_xlpm.val,_xlfn.XLOOKUP(C765,customers!$A$1:$A$1001,customers!$C$1:$C$1001,,0),IF(_xlpm.val=0,"",_xlpm.val))</f>
        <v/>
      </c>
      <c r="H765" s="2" t="str">
        <f>_xlfn.LET(_xlpm.val,_xlfn.XLOOKUP(C765,customers!$A$1:$A$1001,customers!$G$1:$G$1001,,0),IF(_xlpm.val=0,"",_xlpm.val))</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cm="1">
        <f t="array" ref="N765">_xlfn.SWITCH(I765,"rob","Robusta","exc","Excelsa","Ara","Arabica","Lib","Liberica","")</f>
        <v>Arabica</v>
      </c>
      <c r="O765" t="str" cm="1">
        <f t="array" ref="O765">_xlfn.SWITCH(J765,"M","Medium","D","Dark","L","Light")</f>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_xlfn.LET(_xlpm.val,_xlfn.XLOOKUP(C766,customers!$A$1:$A$1001,customers!$C$1:$C$1001,,0),IF(_xlpm.val=0,"",_xlpm.val))</f>
        <v>bfolomkinl8@yolasite.com</v>
      </c>
      <c r="H766" s="2" t="str">
        <f>_xlfn.LET(_xlpm.val,_xlfn.XLOOKUP(C766,customers!$A$1:$A$1001,customers!$G$1:$G$1001,,0),IF(_xlpm.val=0,"",_xlpm.val))</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cm="1">
        <f t="array" ref="N766">_xlfn.SWITCH(I766,"rob","Robusta","exc","Excelsa","Ara","Arabica","Lib","Liberica","")</f>
        <v>Arabica</v>
      </c>
      <c r="O766" t="str" cm="1">
        <f t="array" ref="O766">_xlfn.SWITCH(J766,"M","Medium","D","Dark","L","Light")</f>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_xlfn.LET(_xlpm.val,_xlfn.XLOOKUP(C767,customers!$A$1:$A$1001,customers!$C$1:$C$1001,,0),IF(_xlpm.val=0,"",_xlpm.val))</f>
        <v>rpursglovel9@biblegateway.com</v>
      </c>
      <c r="H767" s="2" t="str">
        <f>_xlfn.LET(_xlpm.val,_xlfn.XLOOKUP(C767,customers!$A$1:$A$1001,customers!$G$1:$G$1001,,0),IF(_xlpm.val=0,"",_xlpm.val))</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cm="1">
        <f t="array" ref="N767">_xlfn.SWITCH(I767,"rob","Robusta","exc","Excelsa","Ara","Arabica","Lib","Liberica","")</f>
        <v>Robusta</v>
      </c>
      <c r="O767" t="str" cm="1">
        <f t="array" ref="O767">_xlfn.SWITCH(J767,"M","Medium","D","Dark","L","Light")</f>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_xlfn.LET(_xlpm.val,_xlfn.XLOOKUP(C768,customers!$A$1:$A$1001,customers!$C$1:$C$1001,,0),IF(_xlpm.val=0,"",_xlpm.val))</f>
        <v>rpursglovel9@biblegateway.com</v>
      </c>
      <c r="H768" s="2" t="str">
        <f>_xlfn.LET(_xlpm.val,_xlfn.XLOOKUP(C768,customers!$A$1:$A$1001,customers!$G$1:$G$1001,,0),IF(_xlpm.val=0,"",_xlpm.val))</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cm="1">
        <f t="array" ref="N768">_xlfn.SWITCH(I768,"rob","Robusta","exc","Excelsa","Ara","Arabica","Lib","Liberica","")</f>
        <v>Arabica</v>
      </c>
      <c r="O768" t="str" cm="1">
        <f t="array" ref="O768">_xlfn.SWITCH(J768,"M","Medium","D","Dark","L","Light")</f>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_xlfn.LET(_xlpm.val,_xlfn.XLOOKUP(C769,customers!$A$1:$A$1001,customers!$C$1:$C$1001,,0),IF(_xlpm.val=0,"",_xlpm.val))</f>
        <v>fconstancekz@ifeng.com</v>
      </c>
      <c r="H769" s="2" t="str">
        <f>_xlfn.LET(_xlpm.val,_xlfn.XLOOKUP(C769,customers!$A$1:$A$1001,customers!$G$1:$G$1001,,0),IF(_xlpm.val=0,"",_xlpm.val))</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cm="1">
        <f t="array" ref="N769">_xlfn.SWITCH(I769,"rob","Robusta","exc","Excelsa","Ara","Arabica","Lib","Liberica","")</f>
        <v>Arabica</v>
      </c>
      <c r="O769" t="str" cm="1">
        <f t="array" ref="O769">_xlfn.SWITCH(J769,"M","Medium","D","Dark","L","Light")</f>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_xlfn.LET(_xlpm.val,_xlfn.XLOOKUP(C770,customers!$A$1:$A$1001,customers!$C$1:$C$1001,,0),IF(_xlpm.val=0,"",_xlpm.val))</f>
        <v>fconstancekz@ifeng.com</v>
      </c>
      <c r="H770" s="2" t="str">
        <f>_xlfn.LET(_xlpm.val,_xlfn.XLOOKUP(C770,customers!$A$1:$A$1001,customers!$G$1:$G$1001,,0),IF(_xlpm.val=0,"",_xlpm.val))</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cm="1">
        <f t="array" ref="N770">_xlfn.SWITCH(I770,"rob","Robusta","exc","Excelsa","Ara","Arabica","Lib","Liberica","")</f>
        <v>Robusta</v>
      </c>
      <c r="O770" t="str" cm="1">
        <f t="array" ref="O770">_xlfn.SWITCH(J770,"M","Medium","D","Dark","L","Light")</f>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_xlfn.LET(_xlpm.val,_xlfn.XLOOKUP(C771,customers!$A$1:$A$1001,customers!$C$1:$C$1001,,0),IF(_xlpm.val=0,"",_xlpm.val))</f>
        <v>deburahld@google.co.jp</v>
      </c>
      <c r="H771" s="2" t="str">
        <f>_xlfn.LET(_xlpm.val,_xlfn.XLOOKUP(C771,customers!$A$1:$A$1001,customers!$G$1:$G$1001,,0),IF(_xlpm.val=0,"",_xlpm.val))</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L771*E771</f>
        <v>137.31</v>
      </c>
      <c r="N771" t="str" cm="1">
        <f t="array" ref="N771">_xlfn.SWITCH(I771,"rob","Robusta","exc","Excelsa","Ara","Arabica","Lib","Liberica","")</f>
        <v>Robusta</v>
      </c>
      <c r="O771" t="str" cm="1">
        <f t="array" ref="O771">_xlfn.SWITCH(J771,"M","Medium","D","Dark","L","Light")</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_xlfn.LET(_xlpm.val,_xlfn.XLOOKUP(C772,customers!$A$1:$A$1001,customers!$C$1:$C$1001,,0),IF(_xlpm.val=0,"",_xlpm.val))</f>
        <v>mbrimilcombele@cnn.com</v>
      </c>
      <c r="H772" s="2" t="str">
        <f>_xlfn.LET(_xlpm.val,_xlfn.XLOOKUP(C772,customers!$A$1:$A$1001,customers!$G$1:$G$1001,,0),IF(_xlpm.val=0,"",_xlpm.val))</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cm="1">
        <f t="array" ref="N772">_xlfn.SWITCH(I772,"rob","Robusta","exc","Excelsa","Ara","Arabica","Lib","Liberica","")</f>
        <v>Arabica</v>
      </c>
      <c r="O772" t="str" cm="1">
        <f t="array" ref="O772">_xlfn.SWITCH(J772,"M","Medium","D","Dark","L","Light")</f>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_xlfn.LET(_xlpm.val,_xlfn.XLOOKUP(C773,customers!$A$1:$A$1001,customers!$C$1:$C$1001,,0),IF(_xlpm.val=0,"",_xlpm.val))</f>
        <v>sbollamlf@list-manage.com</v>
      </c>
      <c r="H773" s="2" t="str">
        <f>_xlfn.LET(_xlpm.val,_xlfn.XLOOKUP(C773,customers!$A$1:$A$1001,customers!$G$1:$G$1001,,0),IF(_xlpm.val=0,"",_xlpm.val))</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cm="1">
        <f t="array" ref="N773">_xlfn.SWITCH(I773,"rob","Robusta","exc","Excelsa","Ara","Arabica","Lib","Liberica","")</f>
        <v>Robusta</v>
      </c>
      <c r="O773" t="str" cm="1">
        <f t="array" ref="O773">_xlfn.SWITCH(J773,"M","Medium","D","Dark","L","Light")</f>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_xlfn.LET(_xlpm.val,_xlfn.XLOOKUP(C774,customers!$A$1:$A$1001,customers!$C$1:$C$1001,,0),IF(_xlpm.val=0,"",_xlpm.val))</f>
        <v/>
      </c>
      <c r="H774" s="2" t="str">
        <f>_xlfn.LET(_xlpm.val,_xlfn.XLOOKUP(C774,customers!$A$1:$A$1001,customers!$G$1:$G$1001,,0),IF(_xlpm.val=0,"",_xlpm.val))</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cm="1">
        <f t="array" ref="N774">_xlfn.SWITCH(I774,"rob","Robusta","exc","Excelsa","Ara","Arabica","Lib","Liberica","")</f>
        <v>Excelsa</v>
      </c>
      <c r="O774" t="str" cm="1">
        <f t="array" ref="O774">_xlfn.SWITCH(J774,"M","Medium","D","Dark","L","Light")</f>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_xlfn.LET(_xlpm.val,_xlfn.XLOOKUP(C775,customers!$A$1:$A$1001,customers!$C$1:$C$1001,,0),IF(_xlpm.val=0,"",_xlpm.val))</f>
        <v>afilipczaklh@ning.com</v>
      </c>
      <c r="H775" s="2" t="str">
        <f>_xlfn.LET(_xlpm.val,_xlfn.XLOOKUP(C775,customers!$A$1:$A$1001,customers!$G$1:$G$1001,,0),IF(_xlpm.val=0,"",_xlpm.val))</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cm="1">
        <f t="array" ref="N775">_xlfn.SWITCH(I775,"rob","Robusta","exc","Excelsa","Ara","Arabica","Lib","Liberica","")</f>
        <v>Liberica</v>
      </c>
      <c r="O775" t="str" cm="1">
        <f t="array" ref="O775">_xlfn.SWITCH(J775,"M","Medium","D","Dark","L","Light")</f>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_xlfn.LET(_xlpm.val,_xlfn.XLOOKUP(C776,customers!$A$1:$A$1001,customers!$C$1:$C$1001,,0),IF(_xlpm.val=0,"",_xlpm.val))</f>
        <v/>
      </c>
      <c r="H776" s="2" t="str">
        <f>_xlfn.LET(_xlpm.val,_xlfn.XLOOKUP(C776,customers!$A$1:$A$1001,customers!$G$1:$G$1001,,0),IF(_xlpm.val=0,"",_xlpm.val))</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cm="1">
        <f t="array" ref="N776">_xlfn.SWITCH(I776,"rob","Robusta","exc","Excelsa","Ara","Arabica","Lib","Liberica","")</f>
        <v>Robusta</v>
      </c>
      <c r="O776" t="str" cm="1">
        <f t="array" ref="O776">_xlfn.SWITCH(J776,"M","Medium","D","Dark","L","Light")</f>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_xlfn.LET(_xlpm.val,_xlfn.XLOOKUP(C777,customers!$A$1:$A$1001,customers!$C$1:$C$1001,,0),IF(_xlpm.val=0,"",_xlpm.val))</f>
        <v>relnaughlj@comsenz.com</v>
      </c>
      <c r="H777" s="2" t="str">
        <f>_xlfn.LET(_xlpm.val,_xlfn.XLOOKUP(C777,customers!$A$1:$A$1001,customers!$G$1:$G$1001,,0),IF(_xlpm.val=0,"",_xlpm.val))</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cm="1">
        <f t="array" ref="N777">_xlfn.SWITCH(I777,"rob","Robusta","exc","Excelsa","Ara","Arabica","Lib","Liberica","")</f>
        <v>Excelsa</v>
      </c>
      <c r="O777" t="str" cm="1">
        <f t="array" ref="O777">_xlfn.SWITCH(J777,"M","Medium","D","Dark","L","Light")</f>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_xlfn.LET(_xlpm.val,_xlfn.XLOOKUP(C778,customers!$A$1:$A$1001,customers!$C$1:$C$1001,,0),IF(_xlpm.val=0,"",_xlpm.val))</f>
        <v>jdeehanlk@about.me</v>
      </c>
      <c r="H778" s="2" t="str">
        <f>_xlfn.LET(_xlpm.val,_xlfn.XLOOKUP(C778,customers!$A$1:$A$1001,customers!$G$1:$G$1001,,0),IF(_xlpm.val=0,"",_xlpm.val))</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cm="1">
        <f t="array" ref="N778">_xlfn.SWITCH(I778,"rob","Robusta","exc","Excelsa","Ara","Arabica","Lib","Liberica","")</f>
        <v>Arabica</v>
      </c>
      <c r="O778" t="str" cm="1">
        <f t="array" ref="O778">_xlfn.SWITCH(J778,"M","Medium","D","Dark","L","Light")</f>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_xlfn.LET(_xlpm.val,_xlfn.XLOOKUP(C779,customers!$A$1:$A$1001,customers!$C$1:$C$1001,,0),IF(_xlpm.val=0,"",_xlpm.val))</f>
        <v>jedenll@e-recht24.de</v>
      </c>
      <c r="H779" s="2" t="str">
        <f>_xlfn.LET(_xlpm.val,_xlfn.XLOOKUP(C779,customers!$A$1:$A$1001,customers!$G$1:$G$1001,,0),IF(_xlpm.val=0,"",_xlpm.val))</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cm="1">
        <f t="array" ref="N779">_xlfn.SWITCH(I779,"rob","Robusta","exc","Excelsa","Ara","Arabica","Lib","Liberica","")</f>
        <v>Arabica</v>
      </c>
      <c r="O779" t="str" cm="1">
        <f t="array" ref="O779">_xlfn.SWITCH(J779,"M","Medium","D","Dark","L","Light")</f>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_xlfn.LET(_xlpm.val,_xlfn.XLOOKUP(C780,customers!$A$1:$A$1001,customers!$C$1:$C$1001,,0),IF(_xlpm.val=0,"",_xlpm.val))</f>
        <v>cjewsterlu@moonfruit.com</v>
      </c>
      <c r="H780" s="2" t="str">
        <f>_xlfn.LET(_xlpm.val,_xlfn.XLOOKUP(C780,customers!$A$1:$A$1001,customers!$G$1:$G$1001,,0),IF(_xlpm.val=0,"",_xlpm.val))</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cm="1">
        <f t="array" ref="N780">_xlfn.SWITCH(I780,"rob","Robusta","exc","Excelsa","Ara","Arabica","Lib","Liberica","")</f>
        <v>Liberica</v>
      </c>
      <c r="O780" t="str" cm="1">
        <f t="array" ref="O780">_xlfn.SWITCH(J780,"M","Medium","D","Dark","L","Light")</f>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_xlfn.LET(_xlpm.val,_xlfn.XLOOKUP(C781,customers!$A$1:$A$1001,customers!$C$1:$C$1001,,0),IF(_xlpm.val=0,"",_xlpm.val))</f>
        <v>usoutherdenln@hao123.com</v>
      </c>
      <c r="H781" s="2" t="str">
        <f>_xlfn.LET(_xlpm.val,_xlfn.XLOOKUP(C781,customers!$A$1:$A$1001,customers!$G$1:$G$1001,,0),IF(_xlpm.val=0,"",_xlpm.val))</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cm="1">
        <f t="array" ref="N781">_xlfn.SWITCH(I781,"rob","Robusta","exc","Excelsa","Ara","Arabica","Lib","Liberica","")</f>
        <v>Liberica</v>
      </c>
      <c r="O781" t="str" cm="1">
        <f t="array" ref="O781">_xlfn.SWITCH(J781,"M","Medium","D","Dark","L","Light")</f>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_xlfn.LET(_xlpm.val,_xlfn.XLOOKUP(C782,customers!$A$1:$A$1001,customers!$C$1:$C$1001,,0),IF(_xlpm.val=0,"",_xlpm.val))</f>
        <v/>
      </c>
      <c r="H782" s="2" t="str">
        <f>_xlfn.LET(_xlpm.val,_xlfn.XLOOKUP(C782,customers!$A$1:$A$1001,customers!$G$1:$G$1001,,0),IF(_xlpm.val=0,"",_xlpm.val))</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cm="1">
        <f t="array" ref="N782">_xlfn.SWITCH(I782,"rob","Robusta","exc","Excelsa","Ara","Arabica","Lib","Liberica","")</f>
        <v>Excelsa</v>
      </c>
      <c r="O782" t="str" cm="1">
        <f t="array" ref="O782">_xlfn.SWITCH(J782,"M","Medium","D","Dark","L","Light")</f>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_xlfn.LET(_xlpm.val,_xlfn.XLOOKUP(C783,customers!$A$1:$A$1001,customers!$C$1:$C$1001,,0),IF(_xlpm.val=0,"",_xlpm.val))</f>
        <v>lburtenshawlp@shinystat.com</v>
      </c>
      <c r="H783" s="2" t="str">
        <f>_xlfn.LET(_xlpm.val,_xlfn.XLOOKUP(C783,customers!$A$1:$A$1001,customers!$G$1:$G$1001,,0),IF(_xlpm.val=0,"",_xlpm.val))</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cm="1">
        <f t="array" ref="N783">_xlfn.SWITCH(I783,"rob","Robusta","exc","Excelsa","Ara","Arabica","Lib","Liberica","")</f>
        <v>Liberica</v>
      </c>
      <c r="O783" t="str" cm="1">
        <f t="array" ref="O783">_xlfn.SWITCH(J783,"M","Medium","D","Dark","L","Light")</f>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_xlfn.LET(_xlpm.val,_xlfn.XLOOKUP(C784,customers!$A$1:$A$1001,customers!$C$1:$C$1001,,0),IF(_xlpm.val=0,"",_xlpm.val))</f>
        <v>agregorattilq@vistaprint.com</v>
      </c>
      <c r="H784" s="2" t="str">
        <f>_xlfn.LET(_xlpm.val,_xlfn.XLOOKUP(C784,customers!$A$1:$A$1001,customers!$G$1:$G$1001,,0),IF(_xlpm.val=0,"",_xlpm.val))</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cm="1">
        <f t="array" ref="N784">_xlfn.SWITCH(I784,"rob","Robusta","exc","Excelsa","Ara","Arabica","Lib","Liberica","")</f>
        <v>Excelsa</v>
      </c>
      <c r="O784" t="str" cm="1">
        <f t="array" ref="O784">_xlfn.SWITCH(J784,"M","Medium","D","Dark","L","Light")</f>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_xlfn.LET(_xlpm.val,_xlfn.XLOOKUP(C785,customers!$A$1:$A$1001,customers!$C$1:$C$1001,,0),IF(_xlpm.val=0,"",_xlpm.val))</f>
        <v>ccrosterlr@gov.uk</v>
      </c>
      <c r="H785" s="2" t="str">
        <f>_xlfn.LET(_xlpm.val,_xlfn.XLOOKUP(C785,customers!$A$1:$A$1001,customers!$G$1:$G$1001,,0),IF(_xlpm.val=0,"",_xlpm.val))</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cm="1">
        <f t="array" ref="N785">_xlfn.SWITCH(I785,"rob","Robusta","exc","Excelsa","Ara","Arabica","Lib","Liberica","")</f>
        <v>Liberica</v>
      </c>
      <c r="O785" t="str" cm="1">
        <f t="array" ref="O785">_xlfn.SWITCH(J785,"M","Medium","D","Dark","L","Light")</f>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_xlfn.LET(_xlpm.val,_xlfn.XLOOKUP(C786,customers!$A$1:$A$1001,customers!$C$1:$C$1001,,0),IF(_xlpm.val=0,"",_xlpm.val))</f>
        <v>gwhiteheadls@hp.com</v>
      </c>
      <c r="H786" s="2" t="str">
        <f>_xlfn.LET(_xlpm.val,_xlfn.XLOOKUP(C786,customers!$A$1:$A$1001,customers!$G$1:$G$1001,,0),IF(_xlpm.val=0,"",_xlpm.val))</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cm="1">
        <f t="array" ref="N786">_xlfn.SWITCH(I786,"rob","Robusta","exc","Excelsa","Ara","Arabica","Lib","Liberica","")</f>
        <v>Liberica</v>
      </c>
      <c r="O786" t="str" cm="1">
        <f t="array" ref="O786">_xlfn.SWITCH(J786,"M","Medium","D","Dark","L","Light")</f>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_xlfn.LET(_xlpm.val,_xlfn.XLOOKUP(C787,customers!$A$1:$A$1001,customers!$C$1:$C$1001,,0),IF(_xlpm.val=0,"",_xlpm.val))</f>
        <v>hjodrellelt@samsung.com</v>
      </c>
      <c r="H787" s="2" t="str">
        <f>_xlfn.LET(_xlpm.val,_xlfn.XLOOKUP(C787,customers!$A$1:$A$1001,customers!$G$1:$G$1001,,0),IF(_xlpm.val=0,"",_xlpm.val))</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cm="1">
        <f t="array" ref="N787">_xlfn.SWITCH(I787,"rob","Robusta","exc","Excelsa","Ara","Arabica","Lib","Liberica","")</f>
        <v>Arabica</v>
      </c>
      <c r="O787" t="str" cm="1">
        <f t="array" ref="O787">_xlfn.SWITCH(J787,"M","Medium","D","Dark","L","Light")</f>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_xlfn.LET(_xlpm.val,_xlfn.XLOOKUP(C788,customers!$A$1:$A$1001,customers!$C$1:$C$1001,,0),IF(_xlpm.val=0,"",_xlpm.val))</f>
        <v>cjewsterlu@moonfruit.com</v>
      </c>
      <c r="H788" s="2" t="str">
        <f>_xlfn.LET(_xlpm.val,_xlfn.XLOOKUP(C788,customers!$A$1:$A$1001,customers!$G$1:$G$1001,,0),IF(_xlpm.val=0,"",_xlpm.val))</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cm="1">
        <f t="array" ref="N788">_xlfn.SWITCH(I788,"rob","Robusta","exc","Excelsa","Ara","Arabica","Lib","Liberica","")</f>
        <v>Excelsa</v>
      </c>
      <c r="O788" t="str" cm="1">
        <f t="array" ref="O788">_xlfn.SWITCH(J788,"M","Medium","D","Dark","L","Light")</f>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_xlfn.LET(_xlpm.val,_xlfn.XLOOKUP(C789,customers!$A$1:$A$1001,customers!$C$1:$C$1001,,0),IF(_xlpm.val=0,"",_xlpm.val))</f>
        <v/>
      </c>
      <c r="H789" s="2" t="str">
        <f>_xlfn.LET(_xlpm.val,_xlfn.XLOOKUP(C789,customers!$A$1:$A$1001,customers!$G$1:$G$1001,,0),IF(_xlpm.val=0,"",_xlpm.val))</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cm="1">
        <f t="array" ref="N789">_xlfn.SWITCH(I789,"rob","Robusta","exc","Excelsa","Ara","Arabica","Lib","Liberica","")</f>
        <v>Excelsa</v>
      </c>
      <c r="O789" t="str" cm="1">
        <f t="array" ref="O789">_xlfn.SWITCH(J789,"M","Medium","D","Dark","L","Light")</f>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_xlfn.LET(_xlpm.val,_xlfn.XLOOKUP(C790,customers!$A$1:$A$1001,customers!$C$1:$C$1001,,0),IF(_xlpm.val=0,"",_xlpm.val))</f>
        <v>knottramlw@odnoklassniki.ru</v>
      </c>
      <c r="H790" s="2" t="str">
        <f>_xlfn.LET(_xlpm.val,_xlfn.XLOOKUP(C790,customers!$A$1:$A$1001,customers!$G$1:$G$1001,,0),IF(_xlpm.val=0,"",_xlpm.val))</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cm="1">
        <f t="array" ref="N790">_xlfn.SWITCH(I790,"rob","Robusta","exc","Excelsa","Ara","Arabica","Lib","Liberica","")</f>
        <v>Robusta</v>
      </c>
      <c r="O790" t="str" cm="1">
        <f t="array" ref="O790">_xlfn.SWITCH(J790,"M","Medium","D","Dark","L","Light")</f>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_xlfn.LET(_xlpm.val,_xlfn.XLOOKUP(C791,customers!$A$1:$A$1001,customers!$C$1:$C$1001,,0),IF(_xlpm.val=0,"",_xlpm.val))</f>
        <v>nbuneylx@jugem.jp</v>
      </c>
      <c r="H791" s="2" t="str">
        <f>_xlfn.LET(_xlpm.val,_xlfn.XLOOKUP(C791,customers!$A$1:$A$1001,customers!$G$1:$G$1001,,0),IF(_xlpm.val=0,"",_xlpm.val))</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cm="1">
        <f t="array" ref="N791">_xlfn.SWITCH(I791,"rob","Robusta","exc","Excelsa","Ara","Arabica","Lib","Liberica","")</f>
        <v>Arabica</v>
      </c>
      <c r="O791" t="str" cm="1">
        <f t="array" ref="O791">_xlfn.SWITCH(J791,"M","Medium","D","Dark","L","Light")</f>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_xlfn.LET(_xlpm.val,_xlfn.XLOOKUP(C792,customers!$A$1:$A$1001,customers!$C$1:$C$1001,,0),IF(_xlpm.val=0,"",_xlpm.val))</f>
        <v>smcshealy@photobucket.com</v>
      </c>
      <c r="H792" s="2" t="str">
        <f>_xlfn.LET(_xlpm.val,_xlfn.XLOOKUP(C792,customers!$A$1:$A$1001,customers!$G$1:$G$1001,,0),IF(_xlpm.val=0,"",_xlpm.val))</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cm="1">
        <f t="array" ref="N792">_xlfn.SWITCH(I792,"rob","Robusta","exc","Excelsa","Ara","Arabica","Lib","Liberica","")</f>
        <v>Arabica</v>
      </c>
      <c r="O792" t="str" cm="1">
        <f t="array" ref="O792">_xlfn.SWITCH(J792,"M","Medium","D","Dark","L","Light")</f>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_xlfn.LET(_xlpm.val,_xlfn.XLOOKUP(C793,customers!$A$1:$A$1001,customers!$C$1:$C$1001,,0),IF(_xlpm.val=0,"",_xlpm.val))</f>
        <v>khuddartlz@about.com</v>
      </c>
      <c r="H793" s="2" t="str">
        <f>_xlfn.LET(_xlpm.val,_xlfn.XLOOKUP(C793,customers!$A$1:$A$1001,customers!$G$1:$G$1001,,0),IF(_xlpm.val=0,"",_xlpm.val))</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cm="1">
        <f t="array" ref="N793">_xlfn.SWITCH(I793,"rob","Robusta","exc","Excelsa","Ara","Arabica","Lib","Liberica","")</f>
        <v>Liberica</v>
      </c>
      <c r="O793" t="str" cm="1">
        <f t="array" ref="O793">_xlfn.SWITCH(J793,"M","Medium","D","Dark","L","Light")</f>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_xlfn.LET(_xlpm.val,_xlfn.XLOOKUP(C794,customers!$A$1:$A$1001,customers!$C$1:$C$1001,,0),IF(_xlpm.val=0,"",_xlpm.val))</f>
        <v>jgippesm0@cloudflare.com</v>
      </c>
      <c r="H794" s="2" t="str">
        <f>_xlfn.LET(_xlpm.val,_xlfn.XLOOKUP(C794,customers!$A$1:$A$1001,customers!$G$1:$G$1001,,0),IF(_xlpm.val=0,"",_xlpm.val))</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cm="1">
        <f t="array" ref="N794">_xlfn.SWITCH(I794,"rob","Robusta","exc","Excelsa","Ara","Arabica","Lib","Liberica","")</f>
        <v>Liberica</v>
      </c>
      <c r="O794" t="str" cm="1">
        <f t="array" ref="O794">_xlfn.SWITCH(J794,"M","Medium","D","Dark","L","Light")</f>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_xlfn.LET(_xlpm.val,_xlfn.XLOOKUP(C795,customers!$A$1:$A$1001,customers!$C$1:$C$1001,,0),IF(_xlpm.val=0,"",_xlpm.val))</f>
        <v>lwhittleseem1@e-recht24.de</v>
      </c>
      <c r="H795" s="2" t="str">
        <f>_xlfn.LET(_xlpm.val,_xlfn.XLOOKUP(C795,customers!$A$1:$A$1001,customers!$G$1:$G$1001,,0),IF(_xlpm.val=0,"",_xlpm.val))</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cm="1">
        <f t="array" ref="N795">_xlfn.SWITCH(I795,"rob","Robusta","exc","Excelsa","Ara","Arabica","Lib","Liberica","")</f>
        <v>Robusta</v>
      </c>
      <c r="O795" t="str" cm="1">
        <f t="array" ref="O795">_xlfn.SWITCH(J795,"M","Medium","D","Dark","L","Light")</f>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_xlfn.LET(_xlpm.val,_xlfn.XLOOKUP(C796,customers!$A$1:$A$1001,customers!$C$1:$C$1001,,0),IF(_xlpm.val=0,"",_xlpm.val))</f>
        <v>gtrengrovem2@elpais.com</v>
      </c>
      <c r="H796" s="2" t="str">
        <f>_xlfn.LET(_xlpm.val,_xlfn.XLOOKUP(C796,customers!$A$1:$A$1001,customers!$G$1:$G$1001,,0),IF(_xlpm.val=0,"",_xlpm.val))</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cm="1">
        <f t="array" ref="N796">_xlfn.SWITCH(I796,"rob","Robusta","exc","Excelsa","Ara","Arabica","Lib","Liberica","")</f>
        <v>Arabica</v>
      </c>
      <c r="O796" t="str" cm="1">
        <f t="array" ref="O796">_xlfn.SWITCH(J796,"M","Medium","D","Dark","L","Light")</f>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_xlfn.LET(_xlpm.val,_xlfn.XLOOKUP(C797,customers!$A$1:$A$1001,customers!$C$1:$C$1001,,0),IF(_xlpm.val=0,"",_xlpm.val))</f>
        <v>wcalderom3@stumbleupon.com</v>
      </c>
      <c r="H797" s="2" t="str">
        <f>_xlfn.LET(_xlpm.val,_xlfn.XLOOKUP(C797,customers!$A$1:$A$1001,customers!$G$1:$G$1001,,0),IF(_xlpm.val=0,"",_xlpm.val))</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cm="1">
        <f t="array" ref="N797">_xlfn.SWITCH(I797,"rob","Robusta","exc","Excelsa","Ara","Arabica","Lib","Liberica","")</f>
        <v>Robusta</v>
      </c>
      <c r="O797" t="str" cm="1">
        <f t="array" ref="O797">_xlfn.SWITCH(J797,"M","Medium","D","Dark","L","Light")</f>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_xlfn.LET(_xlpm.val,_xlfn.XLOOKUP(C798,customers!$A$1:$A$1001,customers!$C$1:$C$1001,,0),IF(_xlpm.val=0,"",_xlpm.val))</f>
        <v/>
      </c>
      <c r="H798" s="2" t="str">
        <f>_xlfn.LET(_xlpm.val,_xlfn.XLOOKUP(C798,customers!$A$1:$A$1001,customers!$G$1:$G$1001,,0),IF(_xlpm.val=0,"",_xlpm.val))</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cm="1">
        <f t="array" ref="N798">_xlfn.SWITCH(I798,"rob","Robusta","exc","Excelsa","Ara","Arabica","Lib","Liberica","")</f>
        <v>Liberica</v>
      </c>
      <c r="O798" t="str" cm="1">
        <f t="array" ref="O798">_xlfn.SWITCH(J798,"M","Medium","D","Dark","L","Light")</f>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_xlfn.LET(_xlpm.val,_xlfn.XLOOKUP(C799,customers!$A$1:$A$1001,customers!$C$1:$C$1001,,0),IF(_xlpm.val=0,"",_xlpm.val))</f>
        <v>jkennicottm5@yahoo.co.jp</v>
      </c>
      <c r="H799" s="2" t="str">
        <f>_xlfn.LET(_xlpm.val,_xlfn.XLOOKUP(C799,customers!$A$1:$A$1001,customers!$G$1:$G$1001,,0),IF(_xlpm.val=0,"",_xlpm.val))</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cm="1">
        <f t="array" ref="N799">_xlfn.SWITCH(I799,"rob","Robusta","exc","Excelsa","Ara","Arabica","Lib","Liberica","")</f>
        <v>Arabica</v>
      </c>
      <c r="O799" t="str" cm="1">
        <f t="array" ref="O799">_xlfn.SWITCH(J799,"M","Medium","D","Dark","L","Light")</f>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_xlfn.LET(_xlpm.val,_xlfn.XLOOKUP(C800,customers!$A$1:$A$1001,customers!$C$1:$C$1001,,0),IF(_xlpm.val=0,"",_xlpm.val))</f>
        <v>gruggenm6@nymag.com</v>
      </c>
      <c r="H800" s="2" t="str">
        <f>_xlfn.LET(_xlpm.val,_xlfn.XLOOKUP(C800,customers!$A$1:$A$1001,customers!$G$1:$G$1001,,0),IF(_xlpm.val=0,"",_xlpm.val))</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cm="1">
        <f t="array" ref="N800">_xlfn.SWITCH(I800,"rob","Robusta","exc","Excelsa","Ara","Arabica","Lib","Liberica","")</f>
        <v>Robusta</v>
      </c>
      <c r="O800" t="str" cm="1">
        <f t="array" ref="O800">_xlfn.SWITCH(J800,"M","Medium","D","Dark","L","Light")</f>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_xlfn.LET(_xlpm.val,_xlfn.XLOOKUP(C801,customers!$A$1:$A$1001,customers!$C$1:$C$1001,,0),IF(_xlpm.val=0,"",_xlpm.val))</f>
        <v/>
      </c>
      <c r="H801" s="2" t="str">
        <f>_xlfn.LET(_xlpm.val,_xlfn.XLOOKUP(C801,customers!$A$1:$A$1001,customers!$G$1:$G$1001,,0),IF(_xlpm.val=0,"",_xlpm.val))</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cm="1">
        <f t="array" ref="N801">_xlfn.SWITCH(I801,"rob","Robusta","exc","Excelsa","Ara","Arabica","Lib","Liberica","")</f>
        <v>Excelsa</v>
      </c>
      <c r="O801" t="str" cm="1">
        <f t="array" ref="O801">_xlfn.SWITCH(J801,"M","Medium","D","Dark","L","Light")</f>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_xlfn.LET(_xlpm.val,_xlfn.XLOOKUP(C802,customers!$A$1:$A$1001,customers!$C$1:$C$1001,,0),IF(_xlpm.val=0,"",_xlpm.val))</f>
        <v>mfrightm8@harvard.edu</v>
      </c>
      <c r="H802" s="2" t="str">
        <f>_xlfn.LET(_xlpm.val,_xlfn.XLOOKUP(C802,customers!$A$1:$A$1001,customers!$G$1:$G$1001,,0),IF(_xlpm.val=0,"",_xlpm.val))</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cm="1">
        <f t="array" ref="N802">_xlfn.SWITCH(I802,"rob","Robusta","exc","Excelsa","Ara","Arabica","Lib","Liberica","")</f>
        <v>Robusta</v>
      </c>
      <c r="O802" t="str" cm="1">
        <f t="array" ref="O802">_xlfn.SWITCH(J802,"M","Medium","D","Dark","L","Light")</f>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_xlfn.LET(_xlpm.val,_xlfn.XLOOKUP(C803,customers!$A$1:$A$1001,customers!$C$1:$C$1001,,0),IF(_xlpm.val=0,"",_xlpm.val))</f>
        <v>btartem9@aol.com</v>
      </c>
      <c r="H803" s="2" t="str">
        <f>_xlfn.LET(_xlpm.val,_xlfn.XLOOKUP(C803,customers!$A$1:$A$1001,customers!$G$1:$G$1001,,0),IF(_xlpm.val=0,"",_xlpm.val))</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cm="1">
        <f t="array" ref="N803">_xlfn.SWITCH(I803,"rob","Robusta","exc","Excelsa","Ara","Arabica","Lib","Liberica","")</f>
        <v>Robusta</v>
      </c>
      <c r="O803" t="str" cm="1">
        <f t="array" ref="O803">_xlfn.SWITCH(J803,"M","Medium","D","Dark","L","Light")</f>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_xlfn.LET(_xlpm.val,_xlfn.XLOOKUP(C804,customers!$A$1:$A$1001,customers!$C$1:$C$1001,,0),IF(_xlpm.val=0,"",_xlpm.val))</f>
        <v>ckrzysztofiakma@skyrock.com</v>
      </c>
      <c r="H804" s="2" t="str">
        <f>_xlfn.LET(_xlpm.val,_xlfn.XLOOKUP(C804,customers!$A$1:$A$1001,customers!$G$1:$G$1001,,0),IF(_xlpm.val=0,"",_xlpm.val))</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cm="1">
        <f t="array" ref="N804">_xlfn.SWITCH(I804,"rob","Robusta","exc","Excelsa","Ara","Arabica","Lib","Liberica","")</f>
        <v>Robusta</v>
      </c>
      <c r="O804" t="str" cm="1">
        <f t="array" ref="O804">_xlfn.SWITCH(J804,"M","Medium","D","Dark","L","Light")</f>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_xlfn.LET(_xlpm.val,_xlfn.XLOOKUP(C805,customers!$A$1:$A$1001,customers!$C$1:$C$1001,,0),IF(_xlpm.val=0,"",_xlpm.val))</f>
        <v>dpenquetmb@diigo.com</v>
      </c>
      <c r="H805" s="2" t="str">
        <f>_xlfn.LET(_xlpm.val,_xlfn.XLOOKUP(C805,customers!$A$1:$A$1001,customers!$G$1:$G$1001,,0),IF(_xlpm.val=0,"",_xlpm.val))</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cm="1">
        <f t="array" ref="N805">_xlfn.SWITCH(I805,"rob","Robusta","exc","Excelsa","Ara","Arabica","Lib","Liberica","")</f>
        <v>Excelsa</v>
      </c>
      <c r="O805" t="str" cm="1">
        <f t="array" ref="O805">_xlfn.SWITCH(J805,"M","Medium","D","Dark","L","Light")</f>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_xlfn.LET(_xlpm.val,_xlfn.XLOOKUP(C806,customers!$A$1:$A$1001,customers!$C$1:$C$1001,,0),IF(_xlpm.val=0,"",_xlpm.val))</f>
        <v/>
      </c>
      <c r="H806" s="2" t="str">
        <f>_xlfn.LET(_xlpm.val,_xlfn.XLOOKUP(C806,customers!$A$1:$A$1001,customers!$G$1:$G$1001,,0),IF(_xlpm.val=0,"",_xlpm.val))</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cm="1">
        <f t="array" ref="N806">_xlfn.SWITCH(I806,"rob","Robusta","exc","Excelsa","Ara","Arabica","Lib","Liberica","")</f>
        <v>Robusta</v>
      </c>
      <c r="O806" t="str" cm="1">
        <f t="array" ref="O806">_xlfn.SWITCH(J806,"M","Medium","D","Dark","L","Light")</f>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_xlfn.LET(_xlpm.val,_xlfn.XLOOKUP(C807,customers!$A$1:$A$1001,customers!$C$1:$C$1001,,0),IF(_xlpm.val=0,"",_xlpm.val))</f>
        <v/>
      </c>
      <c r="H807" s="2" t="str">
        <f>_xlfn.LET(_xlpm.val,_xlfn.XLOOKUP(C807,customers!$A$1:$A$1001,customers!$G$1:$G$1001,,0),IF(_xlpm.val=0,"",_xlpm.val))</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cm="1">
        <f t="array" ref="N807">_xlfn.SWITCH(I807,"rob","Robusta","exc","Excelsa","Ara","Arabica","Lib","Liberica","")</f>
        <v>Robusta</v>
      </c>
      <c r="O807" t="str" cm="1">
        <f t="array" ref="O807">_xlfn.SWITCH(J807,"M","Medium","D","Dark","L","Light")</f>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_xlfn.LET(_xlpm.val,_xlfn.XLOOKUP(C808,customers!$A$1:$A$1001,customers!$C$1:$C$1001,,0),IF(_xlpm.val=0,"",_xlpm.val))</f>
        <v/>
      </c>
      <c r="H808" s="2" t="str">
        <f>_xlfn.LET(_xlpm.val,_xlfn.XLOOKUP(C808,customers!$A$1:$A$1001,customers!$G$1:$G$1001,,0),IF(_xlpm.val=0,"",_xlpm.val))</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cm="1">
        <f t="array" ref="N808">_xlfn.SWITCH(I808,"rob","Robusta","exc","Excelsa","Ara","Arabica","Lib","Liberica","")</f>
        <v>Liberica</v>
      </c>
      <c r="O808" t="str" cm="1">
        <f t="array" ref="O808">_xlfn.SWITCH(J808,"M","Medium","D","Dark","L","Light")</f>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_xlfn.LET(_xlpm.val,_xlfn.XLOOKUP(C809,customers!$A$1:$A$1001,customers!$C$1:$C$1001,,0),IF(_xlpm.val=0,"",_xlpm.val))</f>
        <v>kferrettimf@huffingtonpost.com</v>
      </c>
      <c r="H809" s="2" t="str">
        <f>_xlfn.LET(_xlpm.val,_xlfn.XLOOKUP(C809,customers!$A$1:$A$1001,customers!$G$1:$G$1001,,0),IF(_xlpm.val=0,"",_xlpm.val))</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cm="1">
        <f t="array" ref="N809">_xlfn.SWITCH(I809,"rob","Robusta","exc","Excelsa","Ara","Arabica","Lib","Liberica","")</f>
        <v>Liberica</v>
      </c>
      <c r="O809" t="str" cm="1">
        <f t="array" ref="O809">_xlfn.SWITCH(J809,"M","Medium","D","Dark","L","Light")</f>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_xlfn.LET(_xlpm.val,_xlfn.XLOOKUP(C810,customers!$A$1:$A$1001,customers!$C$1:$C$1001,,0),IF(_xlpm.val=0,"",_xlpm.val))</f>
        <v/>
      </c>
      <c r="H810" s="2" t="str">
        <f>_xlfn.LET(_xlpm.val,_xlfn.XLOOKUP(C810,customers!$A$1:$A$1001,customers!$G$1:$G$1001,,0),IF(_xlpm.val=0,"",_xlpm.val))</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cm="1">
        <f t="array" ref="N810">_xlfn.SWITCH(I810,"rob","Robusta","exc","Excelsa","Ara","Arabica","Lib","Liberica","")</f>
        <v>Robusta</v>
      </c>
      <c r="O810" t="str" cm="1">
        <f t="array" ref="O810">_xlfn.SWITCH(J810,"M","Medium","D","Dark","L","Light")</f>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_xlfn.LET(_xlpm.val,_xlfn.XLOOKUP(C811,customers!$A$1:$A$1001,customers!$C$1:$C$1001,,0),IF(_xlpm.val=0,"",_xlpm.val))</f>
        <v/>
      </c>
      <c r="H811" s="2" t="str">
        <f>_xlfn.LET(_xlpm.val,_xlfn.XLOOKUP(C811,customers!$A$1:$A$1001,customers!$G$1:$G$1001,,0),IF(_xlpm.val=0,"",_xlpm.val))</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cm="1">
        <f t="array" ref="N811">_xlfn.SWITCH(I811,"rob","Robusta","exc","Excelsa","Ara","Arabica","Lib","Liberica","")</f>
        <v>Robusta</v>
      </c>
      <c r="O811" t="str" cm="1">
        <f t="array" ref="O811">_xlfn.SWITCH(J811,"M","Medium","D","Dark","L","Light")</f>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_xlfn.LET(_xlpm.val,_xlfn.XLOOKUP(C812,customers!$A$1:$A$1001,customers!$C$1:$C$1001,,0),IF(_xlpm.val=0,"",_xlpm.val))</f>
        <v>abalsdonemi@toplist.cz</v>
      </c>
      <c r="H812" s="2" t="str">
        <f>_xlfn.LET(_xlpm.val,_xlfn.XLOOKUP(C812,customers!$A$1:$A$1001,customers!$G$1:$G$1001,,0),IF(_xlpm.val=0,"",_xlpm.val))</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cm="1">
        <f t="array" ref="N812">_xlfn.SWITCH(I812,"rob","Robusta","exc","Excelsa","Ara","Arabica","Lib","Liberica","")</f>
        <v>Liberica</v>
      </c>
      <c r="O812" t="str" cm="1">
        <f t="array" ref="O812">_xlfn.SWITCH(J812,"M","Medium","D","Dark","L","Light")</f>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_xlfn.LET(_xlpm.val,_xlfn.XLOOKUP(C813,customers!$A$1:$A$1001,customers!$C$1:$C$1001,,0),IF(_xlpm.val=0,"",_xlpm.val))</f>
        <v>bromeramj@list-manage.com</v>
      </c>
      <c r="H813" s="2" t="str">
        <f>_xlfn.LET(_xlpm.val,_xlfn.XLOOKUP(C813,customers!$A$1:$A$1001,customers!$G$1:$G$1001,,0),IF(_xlpm.val=0,"",_xlpm.val))</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cm="1">
        <f t="array" ref="N813">_xlfn.SWITCH(I813,"rob","Robusta","exc","Excelsa","Ara","Arabica","Lib","Liberica","")</f>
        <v>Arabica</v>
      </c>
      <c r="O813" t="str" cm="1">
        <f t="array" ref="O813">_xlfn.SWITCH(J813,"M","Medium","D","Dark","L","Light")</f>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_xlfn.LET(_xlpm.val,_xlfn.XLOOKUP(C814,customers!$A$1:$A$1001,customers!$C$1:$C$1001,,0),IF(_xlpm.val=0,"",_xlpm.val))</f>
        <v>bromeramj@list-manage.com</v>
      </c>
      <c r="H814" s="2" t="str">
        <f>_xlfn.LET(_xlpm.val,_xlfn.XLOOKUP(C814,customers!$A$1:$A$1001,customers!$G$1:$G$1001,,0),IF(_xlpm.val=0,"",_xlpm.val))</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cm="1">
        <f t="array" ref="N814">_xlfn.SWITCH(I814,"rob","Robusta","exc","Excelsa","Ara","Arabica","Lib","Liberica","")</f>
        <v>Liberica</v>
      </c>
      <c r="O814" t="str" cm="1">
        <f t="array" ref="O814">_xlfn.SWITCH(J814,"M","Medium","D","Dark","L","Light")</f>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_xlfn.LET(_xlpm.val,_xlfn.XLOOKUP(C815,customers!$A$1:$A$1001,customers!$C$1:$C$1001,,0),IF(_xlpm.val=0,"",_xlpm.val))</f>
        <v>cbrydeml@tuttocitta.it</v>
      </c>
      <c r="H815" s="2" t="str">
        <f>_xlfn.LET(_xlpm.val,_xlfn.XLOOKUP(C815,customers!$A$1:$A$1001,customers!$G$1:$G$1001,,0),IF(_xlpm.val=0,"",_xlpm.val))</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cm="1">
        <f t="array" ref="N815">_xlfn.SWITCH(I815,"rob","Robusta","exc","Excelsa","Ara","Arabica","Lib","Liberica","")</f>
        <v>Excelsa</v>
      </c>
      <c r="O815" t="str" cm="1">
        <f t="array" ref="O815">_xlfn.SWITCH(J815,"M","Medium","D","Dark","L","Light")</f>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_xlfn.LET(_xlpm.val,_xlfn.XLOOKUP(C816,customers!$A$1:$A$1001,customers!$C$1:$C$1001,,0),IF(_xlpm.val=0,"",_xlpm.val))</f>
        <v>senefermm@blog.com</v>
      </c>
      <c r="H816" s="2" t="str">
        <f>_xlfn.LET(_xlpm.val,_xlfn.XLOOKUP(C816,customers!$A$1:$A$1001,customers!$G$1:$G$1001,,0),IF(_xlpm.val=0,"",_xlpm.val))</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cm="1">
        <f t="array" ref="N816">_xlfn.SWITCH(I816,"rob","Robusta","exc","Excelsa","Ara","Arabica","Lib","Liberica","")</f>
        <v>Excelsa</v>
      </c>
      <c r="O816" t="str" cm="1">
        <f t="array" ref="O816">_xlfn.SWITCH(J816,"M","Medium","D","Dark","L","Light")</f>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_xlfn.LET(_xlpm.val,_xlfn.XLOOKUP(C817,customers!$A$1:$A$1001,customers!$C$1:$C$1001,,0),IF(_xlpm.val=0,"",_xlpm.val))</f>
        <v>lhaggerstonemn@independent.co.uk</v>
      </c>
      <c r="H817" s="2" t="str">
        <f>_xlfn.LET(_xlpm.val,_xlfn.XLOOKUP(C817,customers!$A$1:$A$1001,customers!$G$1:$G$1001,,0),IF(_xlpm.val=0,"",_xlpm.val))</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cm="1">
        <f t="array" ref="N817">_xlfn.SWITCH(I817,"rob","Robusta","exc","Excelsa","Ara","Arabica","Lib","Liberica","")</f>
        <v>Robusta</v>
      </c>
      <c r="O817" t="str" cm="1">
        <f t="array" ref="O817">_xlfn.SWITCH(J817,"M","Medium","D","Dark","L","Light")</f>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_xlfn.LET(_xlpm.val,_xlfn.XLOOKUP(C818,customers!$A$1:$A$1001,customers!$C$1:$C$1001,,0),IF(_xlpm.val=0,"",_xlpm.val))</f>
        <v>mgundrymo@omniture.com</v>
      </c>
      <c r="H818" s="2" t="str">
        <f>_xlfn.LET(_xlpm.val,_xlfn.XLOOKUP(C818,customers!$A$1:$A$1001,customers!$G$1:$G$1001,,0),IF(_xlpm.val=0,"",_xlpm.val))</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cm="1">
        <f t="array" ref="N818">_xlfn.SWITCH(I818,"rob","Robusta","exc","Excelsa","Ara","Arabica","Lib","Liberica","")</f>
        <v>Liberica</v>
      </c>
      <c r="O818" t="str" cm="1">
        <f t="array" ref="O818">_xlfn.SWITCH(J818,"M","Medium","D","Dark","L","Light")</f>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_xlfn.LET(_xlpm.val,_xlfn.XLOOKUP(C819,customers!$A$1:$A$1001,customers!$C$1:$C$1001,,0),IF(_xlpm.val=0,"",_xlpm.val))</f>
        <v>bwellanmp@cafepress.com</v>
      </c>
      <c r="H819" s="2" t="str">
        <f>_xlfn.LET(_xlpm.val,_xlfn.XLOOKUP(C819,customers!$A$1:$A$1001,customers!$G$1:$G$1001,,0),IF(_xlpm.val=0,"",_xlpm.val))</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cm="1">
        <f t="array" ref="N819">_xlfn.SWITCH(I819,"rob","Robusta","exc","Excelsa","Ara","Arabica","Lib","Liberica","")</f>
        <v>Liberica</v>
      </c>
      <c r="O819" t="str" cm="1">
        <f t="array" ref="O819">_xlfn.SWITCH(J819,"M","Medium","D","Dark","L","Light")</f>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_xlfn.LET(_xlpm.val,_xlfn.XLOOKUP(C820,customers!$A$1:$A$1001,customers!$C$1:$C$1001,,0),IF(_xlpm.val=0,"",_xlpm.val))</f>
        <v/>
      </c>
      <c r="H820" s="2" t="str">
        <f>_xlfn.LET(_xlpm.val,_xlfn.XLOOKUP(C820,customers!$A$1:$A$1001,customers!$G$1:$G$1001,,0),IF(_xlpm.val=0,"",_xlpm.val))</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cm="1">
        <f t="array" ref="N820">_xlfn.SWITCH(I820,"rob","Robusta","exc","Excelsa","Ara","Arabica","Lib","Liberica","")</f>
        <v>Liberica</v>
      </c>
      <c r="O820" t="str" cm="1">
        <f t="array" ref="O820">_xlfn.SWITCH(J820,"M","Medium","D","Dark","L","Light")</f>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_xlfn.LET(_xlpm.val,_xlfn.XLOOKUP(C821,customers!$A$1:$A$1001,customers!$C$1:$C$1001,,0),IF(_xlpm.val=0,"",_xlpm.val))</f>
        <v>catchesonmr@xinhuanet.com</v>
      </c>
      <c r="H821" s="2" t="str">
        <f>_xlfn.LET(_xlpm.val,_xlfn.XLOOKUP(C821,customers!$A$1:$A$1001,customers!$G$1:$G$1001,,0),IF(_xlpm.val=0,"",_xlpm.val))</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cm="1">
        <f t="array" ref="N821">_xlfn.SWITCH(I821,"rob","Robusta","exc","Excelsa","Ara","Arabica","Lib","Liberica","")</f>
        <v>Liberica</v>
      </c>
      <c r="O821" t="str" cm="1">
        <f t="array" ref="O821">_xlfn.SWITCH(J821,"M","Medium","D","Dark","L","Light")</f>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_xlfn.LET(_xlpm.val,_xlfn.XLOOKUP(C822,customers!$A$1:$A$1001,customers!$C$1:$C$1001,,0),IF(_xlpm.val=0,"",_xlpm.val))</f>
        <v>estentonms@google.it</v>
      </c>
      <c r="H822" s="2" t="str">
        <f>_xlfn.LET(_xlpm.val,_xlfn.XLOOKUP(C822,customers!$A$1:$A$1001,customers!$G$1:$G$1001,,0),IF(_xlpm.val=0,"",_xlpm.val))</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cm="1">
        <f t="array" ref="N822">_xlfn.SWITCH(I822,"rob","Robusta","exc","Excelsa","Ara","Arabica","Lib","Liberica","")</f>
        <v>Excelsa</v>
      </c>
      <c r="O822" t="str" cm="1">
        <f t="array" ref="O822">_xlfn.SWITCH(J822,"M","Medium","D","Dark","L","Light")</f>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_xlfn.LET(_xlpm.val,_xlfn.XLOOKUP(C823,customers!$A$1:$A$1001,customers!$C$1:$C$1001,,0),IF(_xlpm.val=0,"",_xlpm.val))</f>
        <v>etrippmt@wp.com</v>
      </c>
      <c r="H823" s="2" t="str">
        <f>_xlfn.LET(_xlpm.val,_xlfn.XLOOKUP(C823,customers!$A$1:$A$1001,customers!$G$1:$G$1001,,0),IF(_xlpm.val=0,"",_xlpm.val))</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cm="1">
        <f t="array" ref="N823">_xlfn.SWITCH(I823,"rob","Robusta","exc","Excelsa","Ara","Arabica","Lib","Liberica","")</f>
        <v>Robusta</v>
      </c>
      <c r="O823" t="str" cm="1">
        <f t="array" ref="O823">_xlfn.SWITCH(J823,"M","Medium","D","Dark","L","Light")</f>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_xlfn.LET(_xlpm.val,_xlfn.XLOOKUP(C824,customers!$A$1:$A$1001,customers!$C$1:$C$1001,,0),IF(_xlpm.val=0,"",_xlpm.val))</f>
        <v>lmacmanusmu@imdb.com</v>
      </c>
      <c r="H824" s="2" t="str">
        <f>_xlfn.LET(_xlpm.val,_xlfn.XLOOKUP(C824,customers!$A$1:$A$1001,customers!$G$1:$G$1001,,0),IF(_xlpm.val=0,"",_xlpm.val))</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cm="1">
        <f t="array" ref="N824">_xlfn.SWITCH(I824,"rob","Robusta","exc","Excelsa","Ara","Arabica","Lib","Liberica","")</f>
        <v>Excelsa</v>
      </c>
      <c r="O824" t="str" cm="1">
        <f t="array" ref="O824">_xlfn.SWITCH(J824,"M","Medium","D","Dark","L","Light")</f>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_xlfn.LET(_xlpm.val,_xlfn.XLOOKUP(C825,customers!$A$1:$A$1001,customers!$C$1:$C$1001,,0),IF(_xlpm.val=0,"",_xlpm.val))</f>
        <v>tbenediktovichmv@ebay.com</v>
      </c>
      <c r="H825" s="2" t="str">
        <f>_xlfn.LET(_xlpm.val,_xlfn.XLOOKUP(C825,customers!$A$1:$A$1001,customers!$G$1:$G$1001,,0),IF(_xlpm.val=0,"",_xlpm.val))</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cm="1">
        <f t="array" ref="N825">_xlfn.SWITCH(I825,"rob","Robusta","exc","Excelsa","Ara","Arabica","Lib","Liberica","")</f>
        <v>Liberica</v>
      </c>
      <c r="O825" t="str" cm="1">
        <f t="array" ref="O825">_xlfn.SWITCH(J825,"M","Medium","D","Dark","L","Light")</f>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_xlfn.LET(_xlpm.val,_xlfn.XLOOKUP(C826,customers!$A$1:$A$1001,customers!$C$1:$C$1001,,0),IF(_xlpm.val=0,"",_xlpm.val))</f>
        <v>cbournermw@chronoengine.com</v>
      </c>
      <c r="H826" s="2" t="str">
        <f>_xlfn.LET(_xlpm.val,_xlfn.XLOOKUP(C826,customers!$A$1:$A$1001,customers!$G$1:$G$1001,,0),IF(_xlpm.val=0,"",_xlpm.val))</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cm="1">
        <f t="array" ref="N826">_xlfn.SWITCH(I826,"rob","Robusta","exc","Excelsa","Ara","Arabica","Lib","Liberica","")</f>
        <v>Arabica</v>
      </c>
      <c r="O826" t="str" cm="1">
        <f t="array" ref="O826">_xlfn.SWITCH(J826,"M","Medium","D","Dark","L","Light")</f>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_xlfn.LET(_xlpm.val,_xlfn.XLOOKUP(C827,customers!$A$1:$A$1001,customers!$C$1:$C$1001,,0),IF(_xlpm.val=0,"",_xlpm.val))</f>
        <v>oskermen3@hatena.ne.jp</v>
      </c>
      <c r="H827" s="2" t="str">
        <f>_xlfn.LET(_xlpm.val,_xlfn.XLOOKUP(C827,customers!$A$1:$A$1001,customers!$G$1:$G$1001,,0),IF(_xlpm.val=0,"",_xlpm.val))</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cm="1">
        <f t="array" ref="N827">_xlfn.SWITCH(I827,"rob","Robusta","exc","Excelsa","Ara","Arabica","Lib","Liberica","")</f>
        <v>Arabica</v>
      </c>
      <c r="O827" t="str" cm="1">
        <f t="array" ref="O827">_xlfn.SWITCH(J827,"M","Medium","D","Dark","L","Light")</f>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_xlfn.LET(_xlpm.val,_xlfn.XLOOKUP(C828,customers!$A$1:$A$1001,customers!$C$1:$C$1001,,0),IF(_xlpm.val=0,"",_xlpm.val))</f>
        <v>kheddanmy@icq.com</v>
      </c>
      <c r="H828" s="2" t="str">
        <f>_xlfn.LET(_xlpm.val,_xlfn.XLOOKUP(C828,customers!$A$1:$A$1001,customers!$G$1:$G$1001,,0),IF(_xlpm.val=0,"",_xlpm.val))</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cm="1">
        <f t="array" ref="N828">_xlfn.SWITCH(I828,"rob","Robusta","exc","Excelsa","Ara","Arabica","Lib","Liberica","")</f>
        <v>Excelsa</v>
      </c>
      <c r="O828" t="str" cm="1">
        <f t="array" ref="O828">_xlfn.SWITCH(J828,"M","Medium","D","Dark","L","Light")</f>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_xlfn.LET(_xlpm.val,_xlfn.XLOOKUP(C829,customers!$A$1:$A$1001,customers!$C$1:$C$1001,,0),IF(_xlpm.val=0,"",_xlpm.val))</f>
        <v>ichartersmz@abc.net.au</v>
      </c>
      <c r="H829" s="2" t="str">
        <f>_xlfn.LET(_xlpm.val,_xlfn.XLOOKUP(C829,customers!$A$1:$A$1001,customers!$G$1:$G$1001,,0),IF(_xlpm.val=0,"",_xlpm.val))</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cm="1">
        <f t="array" ref="N829">_xlfn.SWITCH(I829,"rob","Robusta","exc","Excelsa","Ara","Arabica","Lib","Liberica","")</f>
        <v>Excelsa</v>
      </c>
      <c r="O829" t="str" cm="1">
        <f t="array" ref="O829">_xlfn.SWITCH(J829,"M","Medium","D","Dark","L","Light")</f>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_xlfn.LET(_xlpm.val,_xlfn.XLOOKUP(C830,customers!$A$1:$A$1001,customers!$C$1:$C$1001,,0),IF(_xlpm.val=0,"",_xlpm.val))</f>
        <v>aroubertn0@tmall.com</v>
      </c>
      <c r="H830" s="2" t="str">
        <f>_xlfn.LET(_xlpm.val,_xlfn.XLOOKUP(C830,customers!$A$1:$A$1001,customers!$G$1:$G$1001,,0),IF(_xlpm.val=0,"",_xlpm.val))</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cm="1">
        <f t="array" ref="N830">_xlfn.SWITCH(I830,"rob","Robusta","exc","Excelsa","Ara","Arabica","Lib","Liberica","")</f>
        <v>Arabica</v>
      </c>
      <c r="O830" t="str" cm="1">
        <f t="array" ref="O830">_xlfn.SWITCH(J830,"M","Medium","D","Dark","L","Light")</f>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_xlfn.LET(_xlpm.val,_xlfn.XLOOKUP(C831,customers!$A$1:$A$1001,customers!$C$1:$C$1001,,0),IF(_xlpm.val=0,"",_xlpm.val))</f>
        <v>hmairsn1@so-net.ne.jp</v>
      </c>
      <c r="H831" s="2" t="str">
        <f>_xlfn.LET(_xlpm.val,_xlfn.XLOOKUP(C831,customers!$A$1:$A$1001,customers!$G$1:$G$1001,,0),IF(_xlpm.val=0,"",_xlpm.val))</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cm="1">
        <f t="array" ref="N831">_xlfn.SWITCH(I831,"rob","Robusta","exc","Excelsa","Ara","Arabica","Lib","Liberica","")</f>
        <v>Arabica</v>
      </c>
      <c r="O831" t="str" cm="1">
        <f t="array" ref="O831">_xlfn.SWITCH(J831,"M","Medium","D","Dark","L","Light")</f>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_xlfn.LET(_xlpm.val,_xlfn.XLOOKUP(C832,customers!$A$1:$A$1001,customers!$C$1:$C$1001,,0),IF(_xlpm.val=0,"",_xlpm.val))</f>
        <v>hrainforthn2@blog.com</v>
      </c>
      <c r="H832" s="2" t="str">
        <f>_xlfn.LET(_xlpm.val,_xlfn.XLOOKUP(C832,customers!$A$1:$A$1001,customers!$G$1:$G$1001,,0),IF(_xlpm.val=0,"",_xlpm.val))</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cm="1">
        <f t="array" ref="N832">_xlfn.SWITCH(I832,"rob","Robusta","exc","Excelsa","Ara","Arabica","Lib","Liberica","")</f>
        <v>Excelsa</v>
      </c>
      <c r="O832" t="str" cm="1">
        <f t="array" ref="O832">_xlfn.SWITCH(J832,"M","Medium","D","Dark","L","Light")</f>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_xlfn.LET(_xlpm.val,_xlfn.XLOOKUP(C833,customers!$A$1:$A$1001,customers!$C$1:$C$1001,,0),IF(_xlpm.val=0,"",_xlpm.val))</f>
        <v>hrainforthn2@blog.com</v>
      </c>
      <c r="H833" s="2" t="str">
        <f>_xlfn.LET(_xlpm.val,_xlfn.XLOOKUP(C833,customers!$A$1:$A$1001,customers!$G$1:$G$1001,,0),IF(_xlpm.val=0,"",_xlpm.val))</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cm="1">
        <f t="array" ref="N833">_xlfn.SWITCH(I833,"rob","Robusta","exc","Excelsa","Ara","Arabica","Lib","Liberica","")</f>
        <v>Arabica</v>
      </c>
      <c r="O833" t="str" cm="1">
        <f t="array" ref="O833">_xlfn.SWITCH(J833,"M","Medium","D","Dark","L","Light")</f>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_xlfn.LET(_xlpm.val,_xlfn.XLOOKUP(C834,customers!$A$1:$A$1001,customers!$C$1:$C$1001,,0),IF(_xlpm.val=0,"",_xlpm.val))</f>
        <v>ijespern4@theglobeandmail.com</v>
      </c>
      <c r="H834" s="2" t="str">
        <f>_xlfn.LET(_xlpm.val,_xlfn.XLOOKUP(C834,customers!$A$1:$A$1001,customers!$G$1:$G$1001,,0),IF(_xlpm.val=0,"",_xlpm.val))</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cm="1">
        <f t="array" ref="N834">_xlfn.SWITCH(I834,"rob","Robusta","exc","Excelsa","Ara","Arabica","Lib","Liberica","")</f>
        <v>Robusta</v>
      </c>
      <c r="O834" t="str" cm="1">
        <f t="array" ref="O834">_xlfn.SWITCH(J834,"M","Medium","D","Dark","L","Light")</f>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_xlfn.LET(_xlpm.val,_xlfn.XLOOKUP(C835,customers!$A$1:$A$1001,customers!$C$1:$C$1001,,0),IF(_xlpm.val=0,"",_xlpm.val))</f>
        <v>ldwerryhousen5@gravatar.com</v>
      </c>
      <c r="H835" s="2" t="str">
        <f>_xlfn.LET(_xlpm.val,_xlfn.XLOOKUP(C835,customers!$A$1:$A$1001,customers!$G$1:$G$1001,,0),IF(_xlpm.val=0,"",_xlpm.val))</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L835*E835</f>
        <v>82.339999999999989</v>
      </c>
      <c r="N835" t="str" cm="1">
        <f t="array" ref="N835">_xlfn.SWITCH(I835,"rob","Robusta","exc","Excelsa","Ara","Arabica","Lib","Liberica","")</f>
        <v>Robusta</v>
      </c>
      <c r="O835" t="str" cm="1">
        <f t="array" ref="O835">_xlfn.SWITCH(J835,"M","Medium","D","Dark","L","Light")</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_xlfn.LET(_xlpm.val,_xlfn.XLOOKUP(C836,customers!$A$1:$A$1001,customers!$C$1:$C$1001,,0),IF(_xlpm.val=0,"",_xlpm.val))</f>
        <v>nbroomern6@examiner.com</v>
      </c>
      <c r="H836" s="2" t="str">
        <f>_xlfn.LET(_xlpm.val,_xlfn.XLOOKUP(C836,customers!$A$1:$A$1001,customers!$G$1:$G$1001,,0),IF(_xlpm.val=0,"",_xlpm.val))</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cm="1">
        <f t="array" ref="N836">_xlfn.SWITCH(I836,"rob","Robusta","exc","Excelsa","Ara","Arabica","Lib","Liberica","")</f>
        <v>Arabica</v>
      </c>
      <c r="O836" t="str" cm="1">
        <f t="array" ref="O836">_xlfn.SWITCH(J836,"M","Medium","D","Dark","L","Light")</f>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_xlfn.LET(_xlpm.val,_xlfn.XLOOKUP(C837,customers!$A$1:$A$1001,customers!$C$1:$C$1001,,0),IF(_xlpm.val=0,"",_xlpm.val))</f>
        <v>kthoumassonn7@bloglovin.com</v>
      </c>
      <c r="H837" s="2" t="str">
        <f>_xlfn.LET(_xlpm.val,_xlfn.XLOOKUP(C837,customers!$A$1:$A$1001,customers!$G$1:$G$1001,,0),IF(_xlpm.val=0,"",_xlpm.val))</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cm="1">
        <f t="array" ref="N837">_xlfn.SWITCH(I837,"rob","Robusta","exc","Excelsa","Ara","Arabica","Lib","Liberica","")</f>
        <v>Excelsa</v>
      </c>
      <c r="O837" t="str" cm="1">
        <f t="array" ref="O837">_xlfn.SWITCH(J837,"M","Medium","D","Dark","L","Light")</f>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_xlfn.LET(_xlpm.val,_xlfn.XLOOKUP(C838,customers!$A$1:$A$1001,customers!$C$1:$C$1001,,0),IF(_xlpm.val=0,"",_xlpm.val))</f>
        <v>fhabberghamn8@discovery.com</v>
      </c>
      <c r="H838" s="2" t="str">
        <f>_xlfn.LET(_xlpm.val,_xlfn.XLOOKUP(C838,customers!$A$1:$A$1001,customers!$G$1:$G$1001,,0),IF(_xlpm.val=0,"",_xlpm.val))</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cm="1">
        <f t="array" ref="N838">_xlfn.SWITCH(I838,"rob","Robusta","exc","Excelsa","Ara","Arabica","Lib","Liberica","")</f>
        <v>Arabica</v>
      </c>
      <c r="O838" t="str" cm="1">
        <f t="array" ref="O838">_xlfn.SWITCH(J838,"M","Medium","D","Dark","L","Light")</f>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_xlfn.LET(_xlpm.val,_xlfn.XLOOKUP(C839,customers!$A$1:$A$1001,customers!$C$1:$C$1001,,0),IF(_xlpm.val=0,"",_xlpm.val))</f>
        <v/>
      </c>
      <c r="H839" s="2" t="str">
        <f>_xlfn.LET(_xlpm.val,_xlfn.XLOOKUP(C839,customers!$A$1:$A$1001,customers!$G$1:$G$1001,,0),IF(_xlpm.val=0,"",_xlpm.val))</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cm="1">
        <f t="array" ref="N839">_xlfn.SWITCH(I839,"rob","Robusta","exc","Excelsa","Ara","Arabica","Lib","Liberica","")</f>
        <v>Liberica</v>
      </c>
      <c r="O839" t="str" cm="1">
        <f t="array" ref="O839">_xlfn.SWITCH(J839,"M","Medium","D","Dark","L","Light")</f>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_xlfn.LET(_xlpm.val,_xlfn.XLOOKUP(C840,customers!$A$1:$A$1001,customers!$C$1:$C$1001,,0),IF(_xlpm.val=0,"",_xlpm.val))</f>
        <v>ravrashinna@tamu.edu</v>
      </c>
      <c r="H840" s="2" t="str">
        <f>_xlfn.LET(_xlpm.val,_xlfn.XLOOKUP(C840,customers!$A$1:$A$1001,customers!$G$1:$G$1001,,0),IF(_xlpm.val=0,"",_xlpm.val))</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cm="1">
        <f t="array" ref="N840">_xlfn.SWITCH(I840,"rob","Robusta","exc","Excelsa","Ara","Arabica","Lib","Liberica","")</f>
        <v>Arabica</v>
      </c>
      <c r="O840" t="str" cm="1">
        <f t="array" ref="O840">_xlfn.SWITCH(J840,"M","Medium","D","Dark","L","Light")</f>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_xlfn.LET(_xlpm.val,_xlfn.XLOOKUP(C841,customers!$A$1:$A$1001,customers!$C$1:$C$1001,,0),IF(_xlpm.val=0,"",_xlpm.val))</f>
        <v>mdoidgenb@etsy.com</v>
      </c>
      <c r="H841" s="2" t="str">
        <f>_xlfn.LET(_xlpm.val,_xlfn.XLOOKUP(C841,customers!$A$1:$A$1001,customers!$G$1:$G$1001,,0),IF(_xlpm.val=0,"",_xlpm.val))</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cm="1">
        <f t="array" ref="N841">_xlfn.SWITCH(I841,"rob","Robusta","exc","Excelsa","Ara","Arabica","Lib","Liberica","")</f>
        <v>Excelsa</v>
      </c>
      <c r="O841" t="str" cm="1">
        <f t="array" ref="O841">_xlfn.SWITCH(J841,"M","Medium","D","Dark","L","Light")</f>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_xlfn.LET(_xlpm.val,_xlfn.XLOOKUP(C842,customers!$A$1:$A$1001,customers!$C$1:$C$1001,,0),IF(_xlpm.val=0,"",_xlpm.val))</f>
        <v>jedinboronc@reverbnation.com</v>
      </c>
      <c r="H842" s="2" t="str">
        <f>_xlfn.LET(_xlpm.val,_xlfn.XLOOKUP(C842,customers!$A$1:$A$1001,customers!$G$1:$G$1001,,0),IF(_xlpm.val=0,"",_xlpm.val))</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cm="1">
        <f t="array" ref="N842">_xlfn.SWITCH(I842,"rob","Robusta","exc","Excelsa","Ara","Arabica","Lib","Liberica","")</f>
        <v>Robusta</v>
      </c>
      <c r="O842" t="str" cm="1">
        <f t="array" ref="O842">_xlfn.SWITCH(J842,"M","Medium","D","Dark","L","Light")</f>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_xlfn.LET(_xlpm.val,_xlfn.XLOOKUP(C843,customers!$A$1:$A$1001,customers!$C$1:$C$1001,,0),IF(_xlpm.val=0,"",_xlpm.val))</f>
        <v>ttewelsonnd@cdbaby.com</v>
      </c>
      <c r="H843" s="2" t="str">
        <f>_xlfn.LET(_xlpm.val,_xlfn.XLOOKUP(C843,customers!$A$1:$A$1001,customers!$G$1:$G$1001,,0),IF(_xlpm.val=0,"",_xlpm.val))</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cm="1">
        <f t="array" ref="N843">_xlfn.SWITCH(I843,"rob","Robusta","exc","Excelsa","Ara","Arabica","Lib","Liberica","")</f>
        <v>Liberica</v>
      </c>
      <c r="O843" t="str" cm="1">
        <f t="array" ref="O843">_xlfn.SWITCH(J843,"M","Medium","D","Dark","L","Light")</f>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_xlfn.LET(_xlpm.val,_xlfn.XLOOKUP(C844,customers!$A$1:$A$1001,customers!$C$1:$C$1001,,0),IF(_xlpm.val=0,"",_xlpm.val))</f>
        <v>oskermen3@hatena.ne.jp</v>
      </c>
      <c r="H844" s="2" t="str">
        <f>_xlfn.LET(_xlpm.val,_xlfn.XLOOKUP(C844,customers!$A$1:$A$1001,customers!$G$1:$G$1001,,0),IF(_xlpm.val=0,"",_xlpm.val))</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cm="1">
        <f t="array" ref="N844">_xlfn.SWITCH(I844,"rob","Robusta","exc","Excelsa","Ara","Arabica","Lib","Liberica","")</f>
        <v>Excelsa</v>
      </c>
      <c r="O844" t="str" cm="1">
        <f t="array" ref="O844">_xlfn.SWITCH(J844,"M","Medium","D","Dark","L","Light")</f>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_xlfn.LET(_xlpm.val,_xlfn.XLOOKUP(C845,customers!$A$1:$A$1001,customers!$C$1:$C$1001,,0),IF(_xlpm.val=0,"",_xlpm.val))</f>
        <v>ddrewittnf@mapquest.com</v>
      </c>
      <c r="H845" s="2" t="str">
        <f>_xlfn.LET(_xlpm.val,_xlfn.XLOOKUP(C845,customers!$A$1:$A$1001,customers!$G$1:$G$1001,,0),IF(_xlpm.val=0,"",_xlpm.val))</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cm="1">
        <f t="array" ref="N845">_xlfn.SWITCH(I845,"rob","Robusta","exc","Excelsa","Ara","Arabica","Lib","Liberica","")</f>
        <v>Excelsa</v>
      </c>
      <c r="O845" t="str" cm="1">
        <f t="array" ref="O845">_xlfn.SWITCH(J845,"M","Medium","D","Dark","L","Light")</f>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_xlfn.LET(_xlpm.val,_xlfn.XLOOKUP(C846,customers!$A$1:$A$1001,customers!$C$1:$C$1001,,0),IF(_xlpm.val=0,"",_xlpm.val))</f>
        <v>agladhillng@stanford.edu</v>
      </c>
      <c r="H846" s="2" t="str">
        <f>_xlfn.LET(_xlpm.val,_xlfn.XLOOKUP(C846,customers!$A$1:$A$1001,customers!$G$1:$G$1001,,0),IF(_xlpm.val=0,"",_xlpm.val))</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cm="1">
        <f t="array" ref="N846">_xlfn.SWITCH(I846,"rob","Robusta","exc","Excelsa","Ara","Arabica","Lib","Liberica","")</f>
        <v>Arabica</v>
      </c>
      <c r="O846" t="str" cm="1">
        <f t="array" ref="O846">_xlfn.SWITCH(J846,"M","Medium","D","Dark","L","Light")</f>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_xlfn.LET(_xlpm.val,_xlfn.XLOOKUP(C847,customers!$A$1:$A$1001,customers!$C$1:$C$1001,,0),IF(_xlpm.val=0,"",_xlpm.val))</f>
        <v>mlorineznh@whitehouse.gov</v>
      </c>
      <c r="H847" s="2" t="str">
        <f>_xlfn.LET(_xlpm.val,_xlfn.XLOOKUP(C847,customers!$A$1:$A$1001,customers!$G$1:$G$1001,,0),IF(_xlpm.val=0,"",_xlpm.val))</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cm="1">
        <f t="array" ref="N847">_xlfn.SWITCH(I847,"rob","Robusta","exc","Excelsa","Ara","Arabica","Lib","Liberica","")</f>
        <v>Excelsa</v>
      </c>
      <c r="O847" t="str" cm="1">
        <f t="array" ref="O847">_xlfn.SWITCH(J847,"M","Medium","D","Dark","L","Light")</f>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_xlfn.LET(_xlpm.val,_xlfn.XLOOKUP(C848,customers!$A$1:$A$1001,customers!$C$1:$C$1001,,0),IF(_xlpm.val=0,"",_xlpm.val))</f>
        <v/>
      </c>
      <c r="H848" s="2" t="str">
        <f>_xlfn.LET(_xlpm.val,_xlfn.XLOOKUP(C848,customers!$A$1:$A$1001,customers!$G$1:$G$1001,,0),IF(_xlpm.val=0,"",_xlpm.val))</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cm="1">
        <f t="array" ref="N848">_xlfn.SWITCH(I848,"rob","Robusta","exc","Excelsa","Ara","Arabica","Lib","Liberica","")</f>
        <v>Arabica</v>
      </c>
      <c r="O848" t="str" cm="1">
        <f t="array" ref="O848">_xlfn.SWITCH(J848,"M","Medium","D","Dark","L","Light")</f>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_xlfn.LET(_xlpm.val,_xlfn.XLOOKUP(C849,customers!$A$1:$A$1001,customers!$C$1:$C$1001,,0),IF(_xlpm.val=0,"",_xlpm.val))</f>
        <v>mvannj@wikipedia.org</v>
      </c>
      <c r="H849" s="2" t="str">
        <f>_xlfn.LET(_xlpm.val,_xlfn.XLOOKUP(C849,customers!$A$1:$A$1001,customers!$G$1:$G$1001,,0),IF(_xlpm.val=0,"",_xlpm.val))</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cm="1">
        <f t="array" ref="N849">_xlfn.SWITCH(I849,"rob","Robusta","exc","Excelsa","Ara","Arabica","Lib","Liberica","")</f>
        <v>Arabica</v>
      </c>
      <c r="O849" t="str" cm="1">
        <f t="array" ref="O849">_xlfn.SWITCH(J849,"M","Medium","D","Dark","L","Light")</f>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_xlfn.LET(_xlpm.val,_xlfn.XLOOKUP(C850,customers!$A$1:$A$1001,customers!$C$1:$C$1001,,0),IF(_xlpm.val=0,"",_xlpm.val))</f>
        <v/>
      </c>
      <c r="H850" s="2" t="str">
        <f>_xlfn.LET(_xlpm.val,_xlfn.XLOOKUP(C850,customers!$A$1:$A$1001,customers!$G$1:$G$1001,,0),IF(_xlpm.val=0,"",_xlpm.val))</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cm="1">
        <f t="array" ref="N850">_xlfn.SWITCH(I850,"rob","Robusta","exc","Excelsa","Ara","Arabica","Lib","Liberica","")</f>
        <v>Excelsa</v>
      </c>
      <c r="O850" t="str" cm="1">
        <f t="array" ref="O850">_xlfn.SWITCH(J850,"M","Medium","D","Dark","L","Light")</f>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_xlfn.LET(_xlpm.val,_xlfn.XLOOKUP(C851,customers!$A$1:$A$1001,customers!$C$1:$C$1001,,0),IF(_xlpm.val=0,"",_xlpm.val))</f>
        <v>jethelstonnl@creativecommons.org</v>
      </c>
      <c r="H851" s="2" t="str">
        <f>_xlfn.LET(_xlpm.val,_xlfn.XLOOKUP(C851,customers!$A$1:$A$1001,customers!$G$1:$G$1001,,0),IF(_xlpm.val=0,"",_xlpm.val))</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cm="1">
        <f t="array" ref="N851">_xlfn.SWITCH(I851,"rob","Robusta","exc","Excelsa","Ara","Arabica","Lib","Liberica","")</f>
        <v>Arabica</v>
      </c>
      <c r="O851" t="str" cm="1">
        <f t="array" ref="O851">_xlfn.SWITCH(J851,"M","Medium","D","Dark","L","Light")</f>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_xlfn.LET(_xlpm.val,_xlfn.XLOOKUP(C852,customers!$A$1:$A$1001,customers!$C$1:$C$1001,,0),IF(_xlpm.val=0,"",_xlpm.val))</f>
        <v>jethelstonnl@creativecommons.org</v>
      </c>
      <c r="H852" s="2" t="str">
        <f>_xlfn.LET(_xlpm.val,_xlfn.XLOOKUP(C852,customers!$A$1:$A$1001,customers!$G$1:$G$1001,,0),IF(_xlpm.val=0,"",_xlpm.val))</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cm="1">
        <f t="array" ref="N852">_xlfn.SWITCH(I852,"rob","Robusta","exc","Excelsa","Ara","Arabica","Lib","Liberica","")</f>
        <v>Arabica</v>
      </c>
      <c r="O852" t="str" cm="1">
        <f t="array" ref="O852">_xlfn.SWITCH(J852,"M","Medium","D","Dark","L","Light")</f>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_xlfn.LET(_xlpm.val,_xlfn.XLOOKUP(C853,customers!$A$1:$A$1001,customers!$C$1:$C$1001,,0),IF(_xlpm.val=0,"",_xlpm.val))</f>
        <v>peberznn@woothemes.com</v>
      </c>
      <c r="H853" s="2" t="str">
        <f>_xlfn.LET(_xlpm.val,_xlfn.XLOOKUP(C853,customers!$A$1:$A$1001,customers!$G$1:$G$1001,,0),IF(_xlpm.val=0,"",_xlpm.val))</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cm="1">
        <f t="array" ref="N853">_xlfn.SWITCH(I853,"rob","Robusta","exc","Excelsa","Ara","Arabica","Lib","Liberica","")</f>
        <v>Liberica</v>
      </c>
      <c r="O853" t="str" cm="1">
        <f t="array" ref="O853">_xlfn.SWITCH(J853,"M","Medium","D","Dark","L","Light")</f>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_xlfn.LET(_xlpm.val,_xlfn.XLOOKUP(C854,customers!$A$1:$A$1001,customers!$C$1:$C$1001,,0),IF(_xlpm.val=0,"",_xlpm.val))</f>
        <v>bgaishno@altervista.org</v>
      </c>
      <c r="H854" s="2" t="str">
        <f>_xlfn.LET(_xlpm.val,_xlfn.XLOOKUP(C854,customers!$A$1:$A$1001,customers!$G$1:$G$1001,,0),IF(_xlpm.val=0,"",_xlpm.val))</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cm="1">
        <f t="array" ref="N854">_xlfn.SWITCH(I854,"rob","Robusta","exc","Excelsa","Ara","Arabica","Lib","Liberica","")</f>
        <v>Liberica</v>
      </c>
      <c r="O854" t="str" cm="1">
        <f t="array" ref="O854">_xlfn.SWITCH(J854,"M","Medium","D","Dark","L","Light")</f>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_xlfn.LET(_xlpm.val,_xlfn.XLOOKUP(C855,customers!$A$1:$A$1001,customers!$C$1:$C$1001,,0),IF(_xlpm.val=0,"",_xlpm.val))</f>
        <v>ldantonnp@miitbeian.gov.cn</v>
      </c>
      <c r="H855" s="2" t="str">
        <f>_xlfn.LET(_xlpm.val,_xlfn.XLOOKUP(C855,customers!$A$1:$A$1001,customers!$G$1:$G$1001,,0),IF(_xlpm.val=0,"",_xlpm.val))</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cm="1">
        <f t="array" ref="N855">_xlfn.SWITCH(I855,"rob","Robusta","exc","Excelsa","Ara","Arabica","Lib","Liberica","")</f>
        <v>Arabica</v>
      </c>
      <c r="O855" t="str" cm="1">
        <f t="array" ref="O855">_xlfn.SWITCH(J855,"M","Medium","D","Dark","L","Light")</f>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_xlfn.LET(_xlpm.val,_xlfn.XLOOKUP(C856,customers!$A$1:$A$1001,customers!$C$1:$C$1001,,0),IF(_xlpm.val=0,"",_xlpm.val))</f>
        <v>smorrallnq@answers.com</v>
      </c>
      <c r="H856" s="2" t="str">
        <f>_xlfn.LET(_xlpm.val,_xlfn.XLOOKUP(C856,customers!$A$1:$A$1001,customers!$G$1:$G$1001,,0),IF(_xlpm.val=0,"",_xlpm.val))</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cm="1">
        <f t="array" ref="N856">_xlfn.SWITCH(I856,"rob","Robusta","exc","Excelsa","Ara","Arabica","Lib","Liberica","")</f>
        <v>Robusta</v>
      </c>
      <c r="O856" t="str" cm="1">
        <f t="array" ref="O856">_xlfn.SWITCH(J856,"M","Medium","D","Dark","L","Light")</f>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_xlfn.LET(_xlpm.val,_xlfn.XLOOKUP(C857,customers!$A$1:$A$1001,customers!$C$1:$C$1001,,0),IF(_xlpm.val=0,"",_xlpm.val))</f>
        <v>dcrownshawnr@photobucket.com</v>
      </c>
      <c r="H857" s="2" t="str">
        <f>_xlfn.LET(_xlpm.val,_xlfn.XLOOKUP(C857,customers!$A$1:$A$1001,customers!$G$1:$G$1001,,0),IF(_xlpm.val=0,"",_xlpm.val))</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cm="1">
        <f t="array" ref="N857">_xlfn.SWITCH(I857,"rob","Robusta","exc","Excelsa","Ara","Arabica","Lib","Liberica","")</f>
        <v>Liberica</v>
      </c>
      <c r="O857" t="str" cm="1">
        <f t="array" ref="O857">_xlfn.SWITCH(J857,"M","Medium","D","Dark","L","Light")</f>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_xlfn.LET(_xlpm.val,_xlfn.XLOOKUP(C858,customers!$A$1:$A$1001,customers!$C$1:$C$1001,,0),IF(_xlpm.val=0,"",_xlpm.val))</f>
        <v>oskermen3@hatena.ne.jp</v>
      </c>
      <c r="H858" s="2" t="str">
        <f>_xlfn.LET(_xlpm.val,_xlfn.XLOOKUP(C858,customers!$A$1:$A$1001,customers!$G$1:$G$1001,,0),IF(_xlpm.val=0,"",_xlpm.val))</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cm="1">
        <f t="array" ref="N858">_xlfn.SWITCH(I858,"rob","Robusta","exc","Excelsa","Ara","Arabica","Lib","Liberica","")</f>
        <v>Liberica</v>
      </c>
      <c r="O858" t="str" cm="1">
        <f t="array" ref="O858">_xlfn.SWITCH(J858,"M","Medium","D","Dark","L","Light")</f>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_xlfn.LET(_xlpm.val,_xlfn.XLOOKUP(C859,customers!$A$1:$A$1001,customers!$C$1:$C$1001,,0),IF(_xlpm.val=0,"",_xlpm.val))</f>
        <v>jreddochnt@sun.com</v>
      </c>
      <c r="H859" s="2" t="str">
        <f>_xlfn.LET(_xlpm.val,_xlfn.XLOOKUP(C859,customers!$A$1:$A$1001,customers!$G$1:$G$1001,,0),IF(_xlpm.val=0,"",_xlpm.val))</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cm="1">
        <f t="array" ref="N859">_xlfn.SWITCH(I859,"rob","Robusta","exc","Excelsa","Ara","Arabica","Lib","Liberica","")</f>
        <v>Robusta</v>
      </c>
      <c r="O859" t="str" cm="1">
        <f t="array" ref="O859">_xlfn.SWITCH(J859,"M","Medium","D","Dark","L","Light")</f>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_xlfn.LET(_xlpm.val,_xlfn.XLOOKUP(C860,customers!$A$1:$A$1001,customers!$C$1:$C$1001,,0),IF(_xlpm.val=0,"",_xlpm.val))</f>
        <v>stitleynu@whitehouse.gov</v>
      </c>
      <c r="H860" s="2" t="str">
        <f>_xlfn.LET(_xlpm.val,_xlfn.XLOOKUP(C860,customers!$A$1:$A$1001,customers!$G$1:$G$1001,,0),IF(_xlpm.val=0,"",_xlpm.val))</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cm="1">
        <f t="array" ref="N860">_xlfn.SWITCH(I860,"rob","Robusta","exc","Excelsa","Ara","Arabica","Lib","Liberica","")</f>
        <v>Liberica</v>
      </c>
      <c r="O860" t="str" cm="1">
        <f t="array" ref="O860">_xlfn.SWITCH(J860,"M","Medium","D","Dark","L","Light")</f>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_xlfn.LET(_xlpm.val,_xlfn.XLOOKUP(C861,customers!$A$1:$A$1001,customers!$C$1:$C$1001,,0),IF(_xlpm.val=0,"",_xlpm.val))</f>
        <v>rsimaonv@simplemachines.org</v>
      </c>
      <c r="H861" s="2" t="str">
        <f>_xlfn.LET(_xlpm.val,_xlfn.XLOOKUP(C861,customers!$A$1:$A$1001,customers!$G$1:$G$1001,,0),IF(_xlpm.val=0,"",_xlpm.val))</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cm="1">
        <f t="array" ref="N861">_xlfn.SWITCH(I861,"rob","Robusta","exc","Excelsa","Ara","Arabica","Lib","Liberica","")</f>
        <v>Arabica</v>
      </c>
      <c r="O861" t="str" cm="1">
        <f t="array" ref="O861">_xlfn.SWITCH(J861,"M","Medium","D","Dark","L","Light")</f>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_xlfn.LET(_xlpm.val,_xlfn.XLOOKUP(C862,customers!$A$1:$A$1001,customers!$C$1:$C$1001,,0),IF(_xlpm.val=0,"",_xlpm.val))</f>
        <v/>
      </c>
      <c r="H862" s="2" t="str">
        <f>_xlfn.LET(_xlpm.val,_xlfn.XLOOKUP(C862,customers!$A$1:$A$1001,customers!$G$1:$G$1001,,0),IF(_xlpm.val=0,"",_xlpm.val))</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cm="1">
        <f t="array" ref="N862">_xlfn.SWITCH(I862,"rob","Robusta","exc","Excelsa","Ara","Arabica","Lib","Liberica","")</f>
        <v>Arabica</v>
      </c>
      <c r="O862" t="str" cm="1">
        <f t="array" ref="O862">_xlfn.SWITCH(J862,"M","Medium","D","Dark","L","Light")</f>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_xlfn.LET(_xlpm.val,_xlfn.XLOOKUP(C863,customers!$A$1:$A$1001,customers!$C$1:$C$1001,,0),IF(_xlpm.val=0,"",_xlpm.val))</f>
        <v>nchisholmnx@example.com</v>
      </c>
      <c r="H863" s="2" t="str">
        <f>_xlfn.LET(_xlpm.val,_xlfn.XLOOKUP(C863,customers!$A$1:$A$1001,customers!$G$1:$G$1001,,0),IF(_xlpm.val=0,"",_xlpm.val))</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cm="1">
        <f t="array" ref="N863">_xlfn.SWITCH(I863,"rob","Robusta","exc","Excelsa","Ara","Arabica","Lib","Liberica","")</f>
        <v>Liberica</v>
      </c>
      <c r="O863" t="str" cm="1">
        <f t="array" ref="O863">_xlfn.SWITCH(J863,"M","Medium","D","Dark","L","Light")</f>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_xlfn.LET(_xlpm.val,_xlfn.XLOOKUP(C864,customers!$A$1:$A$1001,customers!$C$1:$C$1001,,0),IF(_xlpm.val=0,"",_xlpm.val))</f>
        <v>goatsny@live.com</v>
      </c>
      <c r="H864" s="2" t="str">
        <f>_xlfn.LET(_xlpm.val,_xlfn.XLOOKUP(C864,customers!$A$1:$A$1001,customers!$G$1:$G$1001,,0),IF(_xlpm.val=0,"",_xlpm.val))</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cm="1">
        <f t="array" ref="N864">_xlfn.SWITCH(I864,"rob","Robusta","exc","Excelsa","Ara","Arabica","Lib","Liberica","")</f>
        <v>Robusta</v>
      </c>
      <c r="O864" t="str" cm="1">
        <f t="array" ref="O864">_xlfn.SWITCH(J864,"M","Medium","D","Dark","L","Light")</f>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_xlfn.LET(_xlpm.val,_xlfn.XLOOKUP(C865,customers!$A$1:$A$1001,customers!$C$1:$C$1001,,0),IF(_xlpm.val=0,"",_xlpm.val))</f>
        <v>mbirkinnz@java.com</v>
      </c>
      <c r="H865" s="2" t="str">
        <f>_xlfn.LET(_xlpm.val,_xlfn.XLOOKUP(C865,customers!$A$1:$A$1001,customers!$G$1:$G$1001,,0),IF(_xlpm.val=0,"",_xlpm.val))</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cm="1">
        <f t="array" ref="N865">_xlfn.SWITCH(I865,"rob","Robusta","exc","Excelsa","Ara","Arabica","Lib","Liberica","")</f>
        <v>Liberica</v>
      </c>
      <c r="O865" t="str" cm="1">
        <f t="array" ref="O865">_xlfn.SWITCH(J865,"M","Medium","D","Dark","L","Light")</f>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_xlfn.LET(_xlpm.val,_xlfn.XLOOKUP(C866,customers!$A$1:$A$1001,customers!$C$1:$C$1001,,0),IF(_xlpm.val=0,"",_xlpm.val))</f>
        <v>rpysono0@constantcontact.com</v>
      </c>
      <c r="H866" s="2" t="str">
        <f>_xlfn.LET(_xlpm.val,_xlfn.XLOOKUP(C866,customers!$A$1:$A$1001,customers!$G$1:$G$1001,,0),IF(_xlpm.val=0,"",_xlpm.val))</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cm="1">
        <f t="array" ref="N866">_xlfn.SWITCH(I866,"rob","Robusta","exc","Excelsa","Ara","Arabica","Lib","Liberica","")</f>
        <v>Robusta</v>
      </c>
      <c r="O866" t="str" cm="1">
        <f t="array" ref="O866">_xlfn.SWITCH(J866,"M","Medium","D","Dark","L","Light")</f>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_xlfn.LET(_xlpm.val,_xlfn.XLOOKUP(C867,customers!$A$1:$A$1001,customers!$C$1:$C$1001,,0),IF(_xlpm.val=0,"",_xlpm.val))</f>
        <v>mmacconnechieo9@reuters.com</v>
      </c>
      <c r="H867" s="2" t="str">
        <f>_xlfn.LET(_xlpm.val,_xlfn.XLOOKUP(C867,customers!$A$1:$A$1001,customers!$G$1:$G$1001,,0),IF(_xlpm.val=0,"",_xlpm.val))</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cm="1">
        <f t="array" ref="N867">_xlfn.SWITCH(I867,"rob","Robusta","exc","Excelsa","Ara","Arabica","Lib","Liberica","")</f>
        <v>Arabica</v>
      </c>
      <c r="O867" t="str" cm="1">
        <f t="array" ref="O867">_xlfn.SWITCH(J867,"M","Medium","D","Dark","L","Light")</f>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_xlfn.LET(_xlpm.val,_xlfn.XLOOKUP(C868,customers!$A$1:$A$1001,customers!$C$1:$C$1001,,0),IF(_xlpm.val=0,"",_xlpm.val))</f>
        <v>rtreachero2@usa.gov</v>
      </c>
      <c r="H868" s="2" t="str">
        <f>_xlfn.LET(_xlpm.val,_xlfn.XLOOKUP(C868,customers!$A$1:$A$1001,customers!$G$1:$G$1001,,0),IF(_xlpm.val=0,"",_xlpm.val))</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cm="1">
        <f t="array" ref="N868">_xlfn.SWITCH(I868,"rob","Robusta","exc","Excelsa","Ara","Arabica","Lib","Liberica","")</f>
        <v>Arabica</v>
      </c>
      <c r="O868" t="str" cm="1">
        <f t="array" ref="O868">_xlfn.SWITCH(J868,"M","Medium","D","Dark","L","Light")</f>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_xlfn.LET(_xlpm.val,_xlfn.XLOOKUP(C869,customers!$A$1:$A$1001,customers!$C$1:$C$1001,,0),IF(_xlpm.val=0,"",_xlpm.val))</f>
        <v>bfattorinio3@quantcast.com</v>
      </c>
      <c r="H869" s="2" t="str">
        <f>_xlfn.LET(_xlpm.val,_xlfn.XLOOKUP(C869,customers!$A$1:$A$1001,customers!$G$1:$G$1001,,0),IF(_xlpm.val=0,"",_xlpm.val))</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cm="1">
        <f t="array" ref="N869">_xlfn.SWITCH(I869,"rob","Robusta","exc","Excelsa","Ara","Arabica","Lib","Liberica","")</f>
        <v>Arabica</v>
      </c>
      <c r="O869" t="str" cm="1">
        <f t="array" ref="O869">_xlfn.SWITCH(J869,"M","Medium","D","Dark","L","Light")</f>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_xlfn.LET(_xlpm.val,_xlfn.XLOOKUP(C870,customers!$A$1:$A$1001,customers!$C$1:$C$1001,,0),IF(_xlpm.val=0,"",_xlpm.val))</f>
        <v>mpalleskeo4@nyu.edu</v>
      </c>
      <c r="H870" s="2" t="str">
        <f>_xlfn.LET(_xlpm.val,_xlfn.XLOOKUP(C870,customers!$A$1:$A$1001,customers!$G$1:$G$1001,,0),IF(_xlpm.val=0,"",_xlpm.val))</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cm="1">
        <f t="array" ref="N870">_xlfn.SWITCH(I870,"rob","Robusta","exc","Excelsa","Ara","Arabica","Lib","Liberica","")</f>
        <v>Excelsa</v>
      </c>
      <c r="O870" t="str" cm="1">
        <f t="array" ref="O870">_xlfn.SWITCH(J870,"M","Medium","D","Dark","L","Light")</f>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_xlfn.LET(_xlpm.val,_xlfn.XLOOKUP(C871,customers!$A$1:$A$1001,customers!$C$1:$C$1001,,0),IF(_xlpm.val=0,"",_xlpm.val))</f>
        <v/>
      </c>
      <c r="H871" s="2" t="str">
        <f>_xlfn.LET(_xlpm.val,_xlfn.XLOOKUP(C871,customers!$A$1:$A$1001,customers!$G$1:$G$1001,,0),IF(_xlpm.val=0,"",_xlpm.val))</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cm="1">
        <f t="array" ref="N871">_xlfn.SWITCH(I871,"rob","Robusta","exc","Excelsa","Ara","Arabica","Lib","Liberica","")</f>
        <v>Robusta</v>
      </c>
      <c r="O871" t="str" cm="1">
        <f t="array" ref="O871">_xlfn.SWITCH(J871,"M","Medium","D","Dark","L","Light")</f>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_xlfn.LET(_xlpm.val,_xlfn.XLOOKUP(C872,customers!$A$1:$A$1001,customers!$C$1:$C$1001,,0),IF(_xlpm.val=0,"",_xlpm.val))</f>
        <v>fantcliffeo6@amazon.co.jp</v>
      </c>
      <c r="H872" s="2" t="str">
        <f>_xlfn.LET(_xlpm.val,_xlfn.XLOOKUP(C872,customers!$A$1:$A$1001,customers!$G$1:$G$1001,,0),IF(_xlpm.val=0,"",_xlpm.val))</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cm="1">
        <f t="array" ref="N872">_xlfn.SWITCH(I872,"rob","Robusta","exc","Excelsa","Ara","Arabica","Lib","Liberica","")</f>
        <v>Excelsa</v>
      </c>
      <c r="O872" t="str" cm="1">
        <f t="array" ref="O872">_xlfn.SWITCH(J872,"M","Medium","D","Dark","L","Light")</f>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_xlfn.LET(_xlpm.val,_xlfn.XLOOKUP(C873,customers!$A$1:$A$1001,customers!$C$1:$C$1001,,0),IF(_xlpm.val=0,"",_xlpm.val))</f>
        <v>pmatignono7@harvard.edu</v>
      </c>
      <c r="H873" s="2" t="str">
        <f>_xlfn.LET(_xlpm.val,_xlfn.XLOOKUP(C873,customers!$A$1:$A$1001,customers!$G$1:$G$1001,,0),IF(_xlpm.val=0,"",_xlpm.val))</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cm="1">
        <f t="array" ref="N873">_xlfn.SWITCH(I873,"rob","Robusta","exc","Excelsa","Ara","Arabica","Lib","Liberica","")</f>
        <v>Excelsa</v>
      </c>
      <c r="O873" t="str" cm="1">
        <f t="array" ref="O873">_xlfn.SWITCH(J873,"M","Medium","D","Dark","L","Light")</f>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_xlfn.LET(_xlpm.val,_xlfn.XLOOKUP(C874,customers!$A$1:$A$1001,customers!$C$1:$C$1001,,0),IF(_xlpm.val=0,"",_xlpm.val))</f>
        <v>cweondo8@theglobeandmail.com</v>
      </c>
      <c r="H874" s="2" t="str">
        <f>_xlfn.LET(_xlpm.val,_xlfn.XLOOKUP(C874,customers!$A$1:$A$1001,customers!$G$1:$G$1001,,0),IF(_xlpm.val=0,"",_xlpm.val))</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cm="1">
        <f t="array" ref="N874">_xlfn.SWITCH(I874,"rob","Robusta","exc","Excelsa","Ara","Arabica","Lib","Liberica","")</f>
        <v>Arabica</v>
      </c>
      <c r="O874" t="str" cm="1">
        <f t="array" ref="O874">_xlfn.SWITCH(J874,"M","Medium","D","Dark","L","Light")</f>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_xlfn.LET(_xlpm.val,_xlfn.XLOOKUP(C875,customers!$A$1:$A$1001,customers!$C$1:$C$1001,,0),IF(_xlpm.val=0,"",_xlpm.val))</f>
        <v>mmacconnechieo9@reuters.com</v>
      </c>
      <c r="H875" s="2" t="str">
        <f>_xlfn.LET(_xlpm.val,_xlfn.XLOOKUP(C875,customers!$A$1:$A$1001,customers!$G$1:$G$1001,,0),IF(_xlpm.val=0,"",_xlpm.val))</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cm="1">
        <f t="array" ref="N875">_xlfn.SWITCH(I875,"rob","Robusta","exc","Excelsa","Ara","Arabica","Lib","Liberica","")</f>
        <v>Robusta</v>
      </c>
      <c r="O875" t="str" cm="1">
        <f t="array" ref="O875">_xlfn.SWITCH(J875,"M","Medium","D","Dark","L","Light")</f>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_xlfn.LET(_xlpm.val,_xlfn.XLOOKUP(C876,customers!$A$1:$A$1001,customers!$C$1:$C$1001,,0),IF(_xlpm.val=0,"",_xlpm.val))</f>
        <v>jskentelberyoa@paypal.com</v>
      </c>
      <c r="H876" s="2" t="str">
        <f>_xlfn.LET(_xlpm.val,_xlfn.XLOOKUP(C876,customers!$A$1:$A$1001,customers!$G$1:$G$1001,,0),IF(_xlpm.val=0,"",_xlpm.val))</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cm="1">
        <f t="array" ref="N876">_xlfn.SWITCH(I876,"rob","Robusta","exc","Excelsa","Ara","Arabica","Lib","Liberica","")</f>
        <v>Arabica</v>
      </c>
      <c r="O876" t="str" cm="1">
        <f t="array" ref="O876">_xlfn.SWITCH(J876,"M","Medium","D","Dark","L","Light")</f>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_xlfn.LET(_xlpm.val,_xlfn.XLOOKUP(C877,customers!$A$1:$A$1001,customers!$C$1:$C$1001,,0),IF(_xlpm.val=0,"",_xlpm.val))</f>
        <v>ocomberob@goo.gl</v>
      </c>
      <c r="H877" s="2" t="str">
        <f>_xlfn.LET(_xlpm.val,_xlfn.XLOOKUP(C877,customers!$A$1:$A$1001,customers!$G$1:$G$1001,,0),IF(_xlpm.val=0,"",_xlpm.val))</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cm="1">
        <f t="array" ref="N877">_xlfn.SWITCH(I877,"rob","Robusta","exc","Excelsa","Ara","Arabica","Lib","Liberica","")</f>
        <v>Liberica</v>
      </c>
      <c r="O877" t="str" cm="1">
        <f t="array" ref="O877">_xlfn.SWITCH(J877,"M","Medium","D","Dark","L","Light")</f>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_xlfn.LET(_xlpm.val,_xlfn.XLOOKUP(C878,customers!$A$1:$A$1001,customers!$C$1:$C$1001,,0),IF(_xlpm.val=0,"",_xlpm.val))</f>
        <v>ocomberob@goo.gl</v>
      </c>
      <c r="H878" s="2" t="str">
        <f>_xlfn.LET(_xlpm.val,_xlfn.XLOOKUP(C878,customers!$A$1:$A$1001,customers!$G$1:$G$1001,,0),IF(_xlpm.val=0,"",_xlpm.val))</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cm="1">
        <f t="array" ref="N878">_xlfn.SWITCH(I878,"rob","Robusta","exc","Excelsa","Ara","Arabica","Lib","Liberica","")</f>
        <v>Arabica</v>
      </c>
      <c r="O878" t="str" cm="1">
        <f t="array" ref="O878">_xlfn.SWITCH(J878,"M","Medium","D","Dark","L","Light")</f>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_xlfn.LET(_xlpm.val,_xlfn.XLOOKUP(C879,customers!$A$1:$A$1001,customers!$C$1:$C$1001,,0),IF(_xlpm.val=0,"",_xlpm.val))</f>
        <v>ztramelod@netlog.com</v>
      </c>
      <c r="H879" s="2" t="str">
        <f>_xlfn.LET(_xlpm.val,_xlfn.XLOOKUP(C879,customers!$A$1:$A$1001,customers!$G$1:$G$1001,,0),IF(_xlpm.val=0,"",_xlpm.val))</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cm="1">
        <f t="array" ref="N879">_xlfn.SWITCH(I879,"rob","Robusta","exc","Excelsa","Ara","Arabica","Lib","Liberica","")</f>
        <v>Liberica</v>
      </c>
      <c r="O879" t="str" cm="1">
        <f t="array" ref="O879">_xlfn.SWITCH(J879,"M","Medium","D","Dark","L","Light")</f>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_xlfn.LET(_xlpm.val,_xlfn.XLOOKUP(C880,customers!$A$1:$A$1001,customers!$C$1:$C$1001,,0),IF(_xlpm.val=0,"",_xlpm.val))</f>
        <v/>
      </c>
      <c r="H880" s="2" t="str">
        <f>_xlfn.LET(_xlpm.val,_xlfn.XLOOKUP(C880,customers!$A$1:$A$1001,customers!$G$1:$G$1001,,0),IF(_xlpm.val=0,"",_xlpm.val))</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cm="1">
        <f t="array" ref="N880">_xlfn.SWITCH(I880,"rob","Robusta","exc","Excelsa","Ara","Arabica","Lib","Liberica","")</f>
        <v>Robusta</v>
      </c>
      <c r="O880" t="str" cm="1">
        <f t="array" ref="O880">_xlfn.SWITCH(J880,"M","Medium","D","Dark","L","Light")</f>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_xlfn.LET(_xlpm.val,_xlfn.XLOOKUP(C881,customers!$A$1:$A$1001,customers!$C$1:$C$1001,,0),IF(_xlpm.val=0,"",_xlpm.val))</f>
        <v/>
      </c>
      <c r="H881" s="2" t="str">
        <f>_xlfn.LET(_xlpm.val,_xlfn.XLOOKUP(C881,customers!$A$1:$A$1001,customers!$G$1:$G$1001,,0),IF(_xlpm.val=0,"",_xlpm.val))</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cm="1">
        <f t="array" ref="N881">_xlfn.SWITCH(I881,"rob","Robusta","exc","Excelsa","Ara","Arabica","Lib","Liberica","")</f>
        <v>Excelsa</v>
      </c>
      <c r="O881" t="str" cm="1">
        <f t="array" ref="O881">_xlfn.SWITCH(J881,"M","Medium","D","Dark","L","Light")</f>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_xlfn.LET(_xlpm.val,_xlfn.XLOOKUP(C882,customers!$A$1:$A$1001,customers!$C$1:$C$1001,,0),IF(_xlpm.val=0,"",_xlpm.val))</f>
        <v>chatfullog@ebay.com</v>
      </c>
      <c r="H882" s="2" t="str">
        <f>_xlfn.LET(_xlpm.val,_xlfn.XLOOKUP(C882,customers!$A$1:$A$1001,customers!$G$1:$G$1001,,0),IF(_xlpm.val=0,"",_xlpm.val))</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cm="1">
        <f t="array" ref="N882">_xlfn.SWITCH(I882,"rob","Robusta","exc","Excelsa","Ara","Arabica","Lib","Liberica","")</f>
        <v>Robusta</v>
      </c>
      <c r="O882" t="str" cm="1">
        <f t="array" ref="O882">_xlfn.SWITCH(J882,"M","Medium","D","Dark","L","Light")</f>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_xlfn.LET(_xlpm.val,_xlfn.XLOOKUP(C883,customers!$A$1:$A$1001,customers!$C$1:$C$1001,,0),IF(_xlpm.val=0,"",_xlpm.val))</f>
        <v/>
      </c>
      <c r="H883" s="2" t="str">
        <f>_xlfn.LET(_xlpm.val,_xlfn.XLOOKUP(C883,customers!$A$1:$A$1001,customers!$G$1:$G$1001,,0),IF(_xlpm.val=0,"",_xlpm.val))</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cm="1">
        <f t="array" ref="N883">_xlfn.SWITCH(I883,"rob","Robusta","exc","Excelsa","Ara","Arabica","Lib","Liberica","")</f>
        <v>Arabica</v>
      </c>
      <c r="O883" t="str" cm="1">
        <f t="array" ref="O883">_xlfn.SWITCH(J883,"M","Medium","D","Dark","L","Light")</f>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_xlfn.LET(_xlpm.val,_xlfn.XLOOKUP(C884,customers!$A$1:$A$1001,customers!$C$1:$C$1001,,0),IF(_xlpm.val=0,"",_xlpm.val))</f>
        <v>kmarrisonoq@dropbox.com</v>
      </c>
      <c r="H884" s="2" t="str">
        <f>_xlfn.LET(_xlpm.val,_xlfn.XLOOKUP(C884,customers!$A$1:$A$1001,customers!$G$1:$G$1001,,0),IF(_xlpm.val=0,"",_xlpm.val))</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cm="1">
        <f t="array" ref="N884">_xlfn.SWITCH(I884,"rob","Robusta","exc","Excelsa","Ara","Arabica","Lib","Liberica","")</f>
        <v>Arabica</v>
      </c>
      <c r="O884" t="str" cm="1">
        <f t="array" ref="O884">_xlfn.SWITCH(J884,"M","Medium","D","Dark","L","Light")</f>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_xlfn.LET(_xlpm.val,_xlfn.XLOOKUP(C885,customers!$A$1:$A$1001,customers!$C$1:$C$1001,,0),IF(_xlpm.val=0,"",_xlpm.val))</f>
        <v>lagnolooj@pinterest.com</v>
      </c>
      <c r="H885" s="2" t="str">
        <f>_xlfn.LET(_xlpm.val,_xlfn.XLOOKUP(C885,customers!$A$1:$A$1001,customers!$G$1:$G$1001,,0),IF(_xlpm.val=0,"",_xlpm.val))</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cm="1">
        <f t="array" ref="N885">_xlfn.SWITCH(I885,"rob","Robusta","exc","Excelsa","Ara","Arabica","Lib","Liberica","")</f>
        <v>Arabica</v>
      </c>
      <c r="O885" t="str" cm="1">
        <f t="array" ref="O885">_xlfn.SWITCH(J885,"M","Medium","D","Dark","L","Light")</f>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_xlfn.LET(_xlpm.val,_xlfn.XLOOKUP(C886,customers!$A$1:$A$1001,customers!$C$1:$C$1001,,0),IF(_xlpm.val=0,"",_xlpm.val))</f>
        <v>dkiddyok@fda.gov</v>
      </c>
      <c r="H886" s="2" t="str">
        <f>_xlfn.LET(_xlpm.val,_xlfn.XLOOKUP(C886,customers!$A$1:$A$1001,customers!$G$1:$G$1001,,0),IF(_xlpm.val=0,"",_xlpm.val))</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cm="1">
        <f t="array" ref="N886">_xlfn.SWITCH(I886,"rob","Robusta","exc","Excelsa","Ara","Arabica","Lib","Liberica","")</f>
        <v>Robusta</v>
      </c>
      <c r="O886" t="str" cm="1">
        <f t="array" ref="O886">_xlfn.SWITCH(J886,"M","Medium","D","Dark","L","Light")</f>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_xlfn.LET(_xlpm.val,_xlfn.XLOOKUP(C887,customers!$A$1:$A$1001,customers!$C$1:$C$1001,,0),IF(_xlpm.val=0,"",_xlpm.val))</f>
        <v>hpetroulisol@state.tx.us</v>
      </c>
      <c r="H887" s="2" t="str">
        <f>_xlfn.LET(_xlpm.val,_xlfn.XLOOKUP(C887,customers!$A$1:$A$1001,customers!$G$1:$G$1001,,0),IF(_xlpm.val=0,"",_xlpm.val))</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cm="1">
        <f t="array" ref="N887">_xlfn.SWITCH(I887,"rob","Robusta","exc","Excelsa","Ara","Arabica","Lib","Liberica","")</f>
        <v>Robusta</v>
      </c>
      <c r="O887" t="str" cm="1">
        <f t="array" ref="O887">_xlfn.SWITCH(J887,"M","Medium","D","Dark","L","Light")</f>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_xlfn.LET(_xlpm.val,_xlfn.XLOOKUP(C888,customers!$A$1:$A$1001,customers!$C$1:$C$1001,,0),IF(_xlpm.val=0,"",_xlpm.val))</f>
        <v>mschollom@taobao.com</v>
      </c>
      <c r="H888" s="2" t="str">
        <f>_xlfn.LET(_xlpm.val,_xlfn.XLOOKUP(C888,customers!$A$1:$A$1001,customers!$G$1:$G$1001,,0),IF(_xlpm.val=0,"",_xlpm.val))</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cm="1">
        <f t="array" ref="N888">_xlfn.SWITCH(I888,"rob","Robusta","exc","Excelsa","Ara","Arabica","Lib","Liberica","")</f>
        <v>Liberica</v>
      </c>
      <c r="O888" t="str" cm="1">
        <f t="array" ref="O888">_xlfn.SWITCH(J888,"M","Medium","D","Dark","L","Light")</f>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_xlfn.LET(_xlpm.val,_xlfn.XLOOKUP(C889,customers!$A$1:$A$1001,customers!$C$1:$C$1001,,0),IF(_xlpm.val=0,"",_xlpm.val))</f>
        <v>kfersonon@g.co</v>
      </c>
      <c r="H889" s="2" t="str">
        <f>_xlfn.LET(_xlpm.val,_xlfn.XLOOKUP(C889,customers!$A$1:$A$1001,customers!$G$1:$G$1001,,0),IF(_xlpm.val=0,"",_xlpm.val))</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cm="1">
        <f t="array" ref="N889">_xlfn.SWITCH(I889,"rob","Robusta","exc","Excelsa","Ara","Arabica","Lib","Liberica","")</f>
        <v>Excelsa</v>
      </c>
      <c r="O889" t="str" cm="1">
        <f t="array" ref="O889">_xlfn.SWITCH(J889,"M","Medium","D","Dark","L","Light")</f>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_xlfn.LET(_xlpm.val,_xlfn.XLOOKUP(C890,customers!$A$1:$A$1001,customers!$C$1:$C$1001,,0),IF(_xlpm.val=0,"",_xlpm.val))</f>
        <v>bkellowayoo@omniture.com</v>
      </c>
      <c r="H890" s="2" t="str">
        <f>_xlfn.LET(_xlpm.val,_xlfn.XLOOKUP(C890,customers!$A$1:$A$1001,customers!$G$1:$G$1001,,0),IF(_xlpm.val=0,"",_xlpm.val))</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cm="1">
        <f t="array" ref="N890">_xlfn.SWITCH(I890,"rob","Robusta","exc","Excelsa","Ara","Arabica","Lib","Liberica","")</f>
        <v>Arabica</v>
      </c>
      <c r="O890" t="str" cm="1">
        <f t="array" ref="O890">_xlfn.SWITCH(J890,"M","Medium","D","Dark","L","Light")</f>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_xlfn.LET(_xlpm.val,_xlfn.XLOOKUP(C891,customers!$A$1:$A$1001,customers!$C$1:$C$1001,,0),IF(_xlpm.val=0,"",_xlpm.val))</f>
        <v>soliffeop@yellowbook.com</v>
      </c>
      <c r="H891" s="2" t="str">
        <f>_xlfn.LET(_xlpm.val,_xlfn.XLOOKUP(C891,customers!$A$1:$A$1001,customers!$G$1:$G$1001,,0),IF(_xlpm.val=0,"",_xlpm.val))</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cm="1">
        <f t="array" ref="N891">_xlfn.SWITCH(I891,"rob","Robusta","exc","Excelsa","Ara","Arabica","Lib","Liberica","")</f>
        <v>Robusta</v>
      </c>
      <c r="O891" t="str" cm="1">
        <f t="array" ref="O891">_xlfn.SWITCH(J891,"M","Medium","D","Dark","L","Light")</f>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_xlfn.LET(_xlpm.val,_xlfn.XLOOKUP(C892,customers!$A$1:$A$1001,customers!$C$1:$C$1001,,0),IF(_xlpm.val=0,"",_xlpm.val))</f>
        <v>kmarrisonoq@dropbox.com</v>
      </c>
      <c r="H892" s="2" t="str">
        <f>_xlfn.LET(_xlpm.val,_xlfn.XLOOKUP(C892,customers!$A$1:$A$1001,customers!$G$1:$G$1001,,0),IF(_xlpm.val=0,"",_xlpm.val))</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cm="1">
        <f t="array" ref="N892">_xlfn.SWITCH(I892,"rob","Robusta","exc","Excelsa","Ara","Arabica","Lib","Liberica","")</f>
        <v>Robusta</v>
      </c>
      <c r="O892" t="str" cm="1">
        <f t="array" ref="O892">_xlfn.SWITCH(J892,"M","Medium","D","Dark","L","Light")</f>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_xlfn.LET(_xlpm.val,_xlfn.XLOOKUP(C893,customers!$A$1:$A$1001,customers!$C$1:$C$1001,,0),IF(_xlpm.val=0,"",_xlpm.val))</f>
        <v>cdolohuntyor@dailymail.co.uk</v>
      </c>
      <c r="H893" s="2" t="str">
        <f>_xlfn.LET(_xlpm.val,_xlfn.XLOOKUP(C893,customers!$A$1:$A$1001,customers!$G$1:$G$1001,,0),IF(_xlpm.val=0,"",_xlpm.val))</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cm="1">
        <f t="array" ref="N893">_xlfn.SWITCH(I893,"rob","Robusta","exc","Excelsa","Ara","Arabica","Lib","Liberica","")</f>
        <v>Arabica</v>
      </c>
      <c r="O893" t="str" cm="1">
        <f t="array" ref="O893">_xlfn.SWITCH(J893,"M","Medium","D","Dark","L","Light")</f>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_xlfn.LET(_xlpm.val,_xlfn.XLOOKUP(C894,customers!$A$1:$A$1001,customers!$C$1:$C$1001,,0),IF(_xlpm.val=0,"",_xlpm.val))</f>
        <v>pvasilenkoos@addtoany.com</v>
      </c>
      <c r="H894" s="2" t="str">
        <f>_xlfn.LET(_xlpm.val,_xlfn.XLOOKUP(C894,customers!$A$1:$A$1001,customers!$G$1:$G$1001,,0),IF(_xlpm.val=0,"",_xlpm.val))</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cm="1">
        <f t="array" ref="N894">_xlfn.SWITCH(I894,"rob","Robusta","exc","Excelsa","Ara","Arabica","Lib","Liberica","")</f>
        <v>Excelsa</v>
      </c>
      <c r="O894" t="str" cm="1">
        <f t="array" ref="O894">_xlfn.SWITCH(J894,"M","Medium","D","Dark","L","Light")</f>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_xlfn.LET(_xlpm.val,_xlfn.XLOOKUP(C895,customers!$A$1:$A$1001,customers!$C$1:$C$1001,,0),IF(_xlpm.val=0,"",_xlpm.val))</f>
        <v>rschankelborgot@ameblo.jp</v>
      </c>
      <c r="H895" s="2" t="str">
        <f>_xlfn.LET(_xlpm.val,_xlfn.XLOOKUP(C895,customers!$A$1:$A$1001,customers!$G$1:$G$1001,,0),IF(_xlpm.val=0,"",_xlpm.val))</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cm="1">
        <f t="array" ref="N895">_xlfn.SWITCH(I895,"rob","Robusta","exc","Excelsa","Ara","Arabica","Lib","Liberica","")</f>
        <v>Liberica</v>
      </c>
      <c r="O895" t="str" cm="1">
        <f t="array" ref="O895">_xlfn.SWITCH(J895,"M","Medium","D","Dark","L","Light")</f>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_xlfn.LET(_xlpm.val,_xlfn.XLOOKUP(C896,customers!$A$1:$A$1001,customers!$C$1:$C$1001,,0),IF(_xlpm.val=0,"",_xlpm.val))</f>
        <v/>
      </c>
      <c r="H896" s="2" t="str">
        <f>_xlfn.LET(_xlpm.val,_xlfn.XLOOKUP(C896,customers!$A$1:$A$1001,customers!$G$1:$G$1001,,0),IF(_xlpm.val=0,"",_xlpm.val))</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cm="1">
        <f t="array" ref="N896">_xlfn.SWITCH(I896,"rob","Robusta","exc","Excelsa","Ara","Arabica","Lib","Liberica","")</f>
        <v>Robusta</v>
      </c>
      <c r="O896" t="str" cm="1">
        <f t="array" ref="O896">_xlfn.SWITCH(J896,"M","Medium","D","Dark","L","Light")</f>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_xlfn.LET(_xlpm.val,_xlfn.XLOOKUP(C897,customers!$A$1:$A$1001,customers!$C$1:$C$1001,,0),IF(_xlpm.val=0,"",_xlpm.val))</f>
        <v/>
      </c>
      <c r="H897" s="2" t="str">
        <f>_xlfn.LET(_xlpm.val,_xlfn.XLOOKUP(C897,customers!$A$1:$A$1001,customers!$G$1:$G$1001,,0),IF(_xlpm.val=0,"",_xlpm.val))</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cm="1">
        <f t="array" ref="N897">_xlfn.SWITCH(I897,"rob","Robusta","exc","Excelsa","Ara","Arabica","Lib","Liberica","")</f>
        <v>Excelsa</v>
      </c>
      <c r="O897" t="str" cm="1">
        <f t="array" ref="O897">_xlfn.SWITCH(J897,"M","Medium","D","Dark","L","Light")</f>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_xlfn.LET(_xlpm.val,_xlfn.XLOOKUP(C898,customers!$A$1:$A$1001,customers!$C$1:$C$1001,,0),IF(_xlpm.val=0,"",_xlpm.val))</f>
        <v>bcargenow@geocities.jp</v>
      </c>
      <c r="H898" s="2" t="str">
        <f>_xlfn.LET(_xlpm.val,_xlfn.XLOOKUP(C898,customers!$A$1:$A$1001,customers!$G$1:$G$1001,,0),IF(_xlpm.val=0,"",_xlpm.val))</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cm="1">
        <f t="array" ref="N898">_xlfn.SWITCH(I898,"rob","Robusta","exc","Excelsa","Ara","Arabica","Lib","Liberica","")</f>
        <v>Robusta</v>
      </c>
      <c r="O898" t="str" cm="1">
        <f t="array" ref="O898">_xlfn.SWITCH(J898,"M","Medium","D","Dark","L","Light")</f>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_xlfn.LET(_xlpm.val,_xlfn.XLOOKUP(C899,customers!$A$1:$A$1001,customers!$C$1:$C$1001,,0),IF(_xlpm.val=0,"",_xlpm.val))</f>
        <v>rsticklerox@printfriendly.com</v>
      </c>
      <c r="H899" s="2" t="str">
        <f>_xlfn.LET(_xlpm.val,_xlfn.XLOOKUP(C899,customers!$A$1:$A$1001,customers!$G$1:$G$1001,,0),IF(_xlpm.val=0,"",_xlpm.val))</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L899*E899</f>
        <v>24.3</v>
      </c>
      <c r="N899" t="str" cm="1">
        <f t="array" ref="N899">_xlfn.SWITCH(I899,"rob","Robusta","exc","Excelsa","Ara","Arabica","Lib","Liberica","")</f>
        <v>Excelsa</v>
      </c>
      <c r="O899" t="str" cm="1">
        <f t="array" ref="O899">_xlfn.SWITCH(J899,"M","Medium","D","Dark","L","Light")</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_xlfn.LET(_xlpm.val,_xlfn.XLOOKUP(C900,customers!$A$1:$A$1001,customers!$C$1:$C$1001,,0),IF(_xlpm.val=0,"",_xlpm.val))</f>
        <v/>
      </c>
      <c r="H900" s="2" t="str">
        <f>_xlfn.LET(_xlpm.val,_xlfn.XLOOKUP(C900,customers!$A$1:$A$1001,customers!$G$1:$G$1001,,0),IF(_xlpm.val=0,"",_xlpm.val))</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cm="1">
        <f t="array" ref="N900">_xlfn.SWITCH(I900,"rob","Robusta","exc","Excelsa","Ara","Arabica","Lib","Liberica","")</f>
        <v>Robusta</v>
      </c>
      <c r="O900" t="str" cm="1">
        <f t="array" ref="O900">_xlfn.SWITCH(J900,"M","Medium","D","Dark","L","Light")</f>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_xlfn.LET(_xlpm.val,_xlfn.XLOOKUP(C901,customers!$A$1:$A$1001,customers!$C$1:$C$1001,,0),IF(_xlpm.val=0,"",_xlpm.val))</f>
        <v/>
      </c>
      <c r="H901" s="2" t="str">
        <f>_xlfn.LET(_xlpm.val,_xlfn.XLOOKUP(C901,customers!$A$1:$A$1001,customers!$G$1:$G$1001,,0),IF(_xlpm.val=0,"",_xlpm.val))</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cm="1">
        <f t="array" ref="N901">_xlfn.SWITCH(I901,"rob","Robusta","exc","Excelsa","Ara","Arabica","Lib","Liberica","")</f>
        <v>Liberica</v>
      </c>
      <c r="O901" t="str" cm="1">
        <f t="array" ref="O901">_xlfn.SWITCH(J901,"M","Medium","D","Dark","L","Light")</f>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_xlfn.LET(_xlpm.val,_xlfn.XLOOKUP(C902,customers!$A$1:$A$1001,customers!$C$1:$C$1001,,0),IF(_xlpm.val=0,"",_xlpm.val))</f>
        <v/>
      </c>
      <c r="H902" s="2" t="str">
        <f>_xlfn.LET(_xlpm.val,_xlfn.XLOOKUP(C902,customers!$A$1:$A$1001,customers!$G$1:$G$1001,,0),IF(_xlpm.val=0,"",_xlpm.val))</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cm="1">
        <f t="array" ref="N902">_xlfn.SWITCH(I902,"rob","Robusta","exc","Excelsa","Ara","Arabica","Lib","Liberica","")</f>
        <v>Liberica</v>
      </c>
      <c r="O902" t="str" cm="1">
        <f t="array" ref="O902">_xlfn.SWITCH(J902,"M","Medium","D","Dark","L","Light")</f>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_xlfn.LET(_xlpm.val,_xlfn.XLOOKUP(C903,customers!$A$1:$A$1001,customers!$C$1:$C$1001,,0),IF(_xlpm.val=0,"",_xlpm.val))</f>
        <v>djevonp1@ibm.com</v>
      </c>
      <c r="H903" s="2" t="str">
        <f>_xlfn.LET(_xlpm.val,_xlfn.XLOOKUP(C903,customers!$A$1:$A$1001,customers!$G$1:$G$1001,,0),IF(_xlpm.val=0,"",_xlpm.val))</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cm="1">
        <f t="array" ref="N903">_xlfn.SWITCH(I903,"rob","Robusta","exc","Excelsa","Ara","Arabica","Lib","Liberica","")</f>
        <v>Robusta</v>
      </c>
      <c r="O903" t="str" cm="1">
        <f t="array" ref="O903">_xlfn.SWITCH(J903,"M","Medium","D","Dark","L","Light")</f>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_xlfn.LET(_xlpm.val,_xlfn.XLOOKUP(C904,customers!$A$1:$A$1001,customers!$C$1:$C$1001,,0),IF(_xlpm.val=0,"",_xlpm.val))</f>
        <v>hrannerp2@omniture.com</v>
      </c>
      <c r="H904" s="2" t="str">
        <f>_xlfn.LET(_xlpm.val,_xlfn.XLOOKUP(C904,customers!$A$1:$A$1001,customers!$G$1:$G$1001,,0),IF(_xlpm.val=0,"",_xlpm.val))</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cm="1">
        <f t="array" ref="N904">_xlfn.SWITCH(I904,"rob","Robusta","exc","Excelsa","Ara","Arabica","Lib","Liberica","")</f>
        <v>Excelsa</v>
      </c>
      <c r="O904" t="str" cm="1">
        <f t="array" ref="O904">_xlfn.SWITCH(J904,"M","Medium","D","Dark","L","Light")</f>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_xlfn.LET(_xlpm.val,_xlfn.XLOOKUP(C905,customers!$A$1:$A$1001,customers!$C$1:$C$1001,,0),IF(_xlpm.val=0,"",_xlpm.val))</f>
        <v>bimriep3@addtoany.com</v>
      </c>
      <c r="H905" s="2" t="str">
        <f>_xlfn.LET(_xlpm.val,_xlfn.XLOOKUP(C905,customers!$A$1:$A$1001,customers!$G$1:$G$1001,,0),IF(_xlpm.val=0,"",_xlpm.val))</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cm="1">
        <f t="array" ref="N905">_xlfn.SWITCH(I905,"rob","Robusta","exc","Excelsa","Ara","Arabica","Lib","Liberica","")</f>
        <v>Liberica</v>
      </c>
      <c r="O905" t="str" cm="1">
        <f t="array" ref="O905">_xlfn.SWITCH(J905,"M","Medium","D","Dark","L","Light")</f>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_xlfn.LET(_xlpm.val,_xlfn.XLOOKUP(C906,customers!$A$1:$A$1001,customers!$C$1:$C$1001,,0),IF(_xlpm.val=0,"",_xlpm.val))</f>
        <v>dsopperp4@eventbrite.com</v>
      </c>
      <c r="H906" s="2" t="str">
        <f>_xlfn.LET(_xlpm.val,_xlfn.XLOOKUP(C906,customers!$A$1:$A$1001,customers!$G$1:$G$1001,,0),IF(_xlpm.val=0,"",_xlpm.val))</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cm="1">
        <f t="array" ref="N906">_xlfn.SWITCH(I906,"rob","Robusta","exc","Excelsa","Ara","Arabica","Lib","Liberica","")</f>
        <v>Arabica</v>
      </c>
      <c r="O906" t="str" cm="1">
        <f t="array" ref="O906">_xlfn.SWITCH(J906,"M","Medium","D","Dark","L","Light")</f>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_xlfn.LET(_xlpm.val,_xlfn.XLOOKUP(C907,customers!$A$1:$A$1001,customers!$C$1:$C$1001,,0),IF(_xlpm.val=0,"",_xlpm.val))</f>
        <v/>
      </c>
      <c r="H907" s="2" t="str">
        <f>_xlfn.LET(_xlpm.val,_xlfn.XLOOKUP(C907,customers!$A$1:$A$1001,customers!$G$1:$G$1001,,0),IF(_xlpm.val=0,"",_xlpm.val))</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cm="1">
        <f t="array" ref="N907">_xlfn.SWITCH(I907,"rob","Robusta","exc","Excelsa","Ara","Arabica","Lib","Liberica","")</f>
        <v>Arabica</v>
      </c>
      <c r="O907" t="str" cm="1">
        <f t="array" ref="O907">_xlfn.SWITCH(J907,"M","Medium","D","Dark","L","Light")</f>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_xlfn.LET(_xlpm.val,_xlfn.XLOOKUP(C908,customers!$A$1:$A$1001,customers!$C$1:$C$1001,,0),IF(_xlpm.val=0,"",_xlpm.val))</f>
        <v>lledgleyp6@de.vu</v>
      </c>
      <c r="H908" s="2" t="str">
        <f>_xlfn.LET(_xlpm.val,_xlfn.XLOOKUP(C908,customers!$A$1:$A$1001,customers!$G$1:$G$1001,,0),IF(_xlpm.val=0,"",_xlpm.val))</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cm="1">
        <f t="array" ref="N908">_xlfn.SWITCH(I908,"rob","Robusta","exc","Excelsa","Ara","Arabica","Lib","Liberica","")</f>
        <v>Arabica</v>
      </c>
      <c r="O908" t="str" cm="1">
        <f t="array" ref="O908">_xlfn.SWITCH(J908,"M","Medium","D","Dark","L","Light")</f>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_xlfn.LET(_xlpm.val,_xlfn.XLOOKUP(C909,customers!$A$1:$A$1001,customers!$C$1:$C$1001,,0),IF(_xlpm.val=0,"",_xlpm.val))</f>
        <v>tmenaryp7@phoca.cz</v>
      </c>
      <c r="H909" s="2" t="str">
        <f>_xlfn.LET(_xlpm.val,_xlfn.XLOOKUP(C909,customers!$A$1:$A$1001,customers!$G$1:$G$1001,,0),IF(_xlpm.val=0,"",_xlpm.val))</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cm="1">
        <f t="array" ref="N909">_xlfn.SWITCH(I909,"rob","Robusta","exc","Excelsa","Ara","Arabica","Lib","Liberica","")</f>
        <v>Liberica</v>
      </c>
      <c r="O909" t="str" cm="1">
        <f t="array" ref="O909">_xlfn.SWITCH(J909,"M","Medium","D","Dark","L","Light")</f>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_xlfn.LET(_xlpm.val,_xlfn.XLOOKUP(C910,customers!$A$1:$A$1001,customers!$C$1:$C$1001,,0),IF(_xlpm.val=0,"",_xlpm.val))</f>
        <v>gciccottip8@so-net.ne.jp</v>
      </c>
      <c r="H910" s="2" t="str">
        <f>_xlfn.LET(_xlpm.val,_xlfn.XLOOKUP(C910,customers!$A$1:$A$1001,customers!$G$1:$G$1001,,0),IF(_xlpm.val=0,"",_xlpm.val))</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cm="1">
        <f t="array" ref="N910">_xlfn.SWITCH(I910,"rob","Robusta","exc","Excelsa","Ara","Arabica","Lib","Liberica","")</f>
        <v>Robusta</v>
      </c>
      <c r="O910" t="str" cm="1">
        <f t="array" ref="O910">_xlfn.SWITCH(J910,"M","Medium","D","Dark","L","Light")</f>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_xlfn.LET(_xlpm.val,_xlfn.XLOOKUP(C911,customers!$A$1:$A$1001,customers!$C$1:$C$1001,,0),IF(_xlpm.val=0,"",_xlpm.val))</f>
        <v/>
      </c>
      <c r="H911" s="2" t="str">
        <f>_xlfn.LET(_xlpm.val,_xlfn.XLOOKUP(C911,customers!$A$1:$A$1001,customers!$G$1:$G$1001,,0),IF(_xlpm.val=0,"",_xlpm.val))</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cm="1">
        <f t="array" ref="N911">_xlfn.SWITCH(I911,"rob","Robusta","exc","Excelsa","Ara","Arabica","Lib","Liberica","")</f>
        <v>Robusta</v>
      </c>
      <c r="O911" t="str" cm="1">
        <f t="array" ref="O911">_xlfn.SWITCH(J911,"M","Medium","D","Dark","L","Light")</f>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_xlfn.LET(_xlpm.val,_xlfn.XLOOKUP(C912,customers!$A$1:$A$1001,customers!$C$1:$C$1001,,0),IF(_xlpm.val=0,"",_xlpm.val))</f>
        <v>wjallinpa@pcworld.com</v>
      </c>
      <c r="H912" s="2" t="str">
        <f>_xlfn.LET(_xlpm.val,_xlfn.XLOOKUP(C912,customers!$A$1:$A$1001,customers!$G$1:$G$1001,,0),IF(_xlpm.val=0,"",_xlpm.val))</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cm="1">
        <f t="array" ref="N912">_xlfn.SWITCH(I912,"rob","Robusta","exc","Excelsa","Ara","Arabica","Lib","Liberica","")</f>
        <v>Arabica</v>
      </c>
      <c r="O912" t="str" cm="1">
        <f t="array" ref="O912">_xlfn.SWITCH(J912,"M","Medium","D","Dark","L","Light")</f>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_xlfn.LET(_xlpm.val,_xlfn.XLOOKUP(C913,customers!$A$1:$A$1001,customers!$C$1:$C$1001,,0),IF(_xlpm.val=0,"",_xlpm.val))</f>
        <v>mbogeypb@thetimes.co.uk</v>
      </c>
      <c r="H913" s="2" t="str">
        <f>_xlfn.LET(_xlpm.val,_xlfn.XLOOKUP(C913,customers!$A$1:$A$1001,customers!$G$1:$G$1001,,0),IF(_xlpm.val=0,"",_xlpm.val))</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cm="1">
        <f t="array" ref="N913">_xlfn.SWITCH(I913,"rob","Robusta","exc","Excelsa","Ara","Arabica","Lib","Liberica","")</f>
        <v>Arabica</v>
      </c>
      <c r="O913" t="str" cm="1">
        <f t="array" ref="O913">_xlfn.SWITCH(J913,"M","Medium","D","Dark","L","Light")</f>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_xlfn.LET(_xlpm.val,_xlfn.XLOOKUP(C914,customers!$A$1:$A$1001,customers!$C$1:$C$1001,,0),IF(_xlpm.val=0,"",_xlpm.val))</f>
        <v/>
      </c>
      <c r="H914" s="2" t="str">
        <f>_xlfn.LET(_xlpm.val,_xlfn.XLOOKUP(C914,customers!$A$1:$A$1001,customers!$G$1:$G$1001,,0),IF(_xlpm.val=0,"",_xlpm.val))</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cm="1">
        <f t="array" ref="N914">_xlfn.SWITCH(I914,"rob","Robusta","exc","Excelsa","Ara","Arabica","Lib","Liberica","")</f>
        <v>Robusta</v>
      </c>
      <c r="O914" t="str" cm="1">
        <f t="array" ref="O914">_xlfn.SWITCH(J914,"M","Medium","D","Dark","L","Light")</f>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_xlfn.LET(_xlpm.val,_xlfn.XLOOKUP(C915,customers!$A$1:$A$1001,customers!$C$1:$C$1001,,0),IF(_xlpm.val=0,"",_xlpm.val))</f>
        <v>mcobbledickpd@ucsd.edu</v>
      </c>
      <c r="H915" s="2" t="str">
        <f>_xlfn.LET(_xlpm.val,_xlfn.XLOOKUP(C915,customers!$A$1:$A$1001,customers!$G$1:$G$1001,,0),IF(_xlpm.val=0,"",_xlpm.val))</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cm="1">
        <f t="array" ref="N915">_xlfn.SWITCH(I915,"rob","Robusta","exc","Excelsa","Ara","Arabica","Lib","Liberica","")</f>
        <v>Arabica</v>
      </c>
      <c r="O915" t="str" cm="1">
        <f t="array" ref="O915">_xlfn.SWITCH(J915,"M","Medium","D","Dark","L","Light")</f>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_xlfn.LET(_xlpm.val,_xlfn.XLOOKUP(C916,customers!$A$1:$A$1001,customers!$C$1:$C$1001,,0),IF(_xlpm.val=0,"",_xlpm.val))</f>
        <v>alewrype@whitehouse.gov</v>
      </c>
      <c r="H916" s="2" t="str">
        <f>_xlfn.LET(_xlpm.val,_xlfn.XLOOKUP(C916,customers!$A$1:$A$1001,customers!$G$1:$G$1001,,0),IF(_xlpm.val=0,"",_xlpm.val))</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cm="1">
        <f t="array" ref="N916">_xlfn.SWITCH(I916,"rob","Robusta","exc","Excelsa","Ara","Arabica","Lib","Liberica","")</f>
        <v>Arabica</v>
      </c>
      <c r="O916" t="str" cm="1">
        <f t="array" ref="O916">_xlfn.SWITCH(J916,"M","Medium","D","Dark","L","Light")</f>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_xlfn.LET(_xlpm.val,_xlfn.XLOOKUP(C917,customers!$A$1:$A$1001,customers!$C$1:$C$1001,,0),IF(_xlpm.val=0,"",_xlpm.val))</f>
        <v>ihesselpf@ox.ac.uk</v>
      </c>
      <c r="H917" s="2" t="str">
        <f>_xlfn.LET(_xlpm.val,_xlfn.XLOOKUP(C917,customers!$A$1:$A$1001,customers!$G$1:$G$1001,,0),IF(_xlpm.val=0,"",_xlpm.val))</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cm="1">
        <f t="array" ref="N917">_xlfn.SWITCH(I917,"rob","Robusta","exc","Excelsa","Ara","Arabica","Lib","Liberica","")</f>
        <v>Excelsa</v>
      </c>
      <c r="O917" t="str" cm="1">
        <f t="array" ref="O917">_xlfn.SWITCH(J917,"M","Medium","D","Dark","L","Light")</f>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_xlfn.LET(_xlpm.val,_xlfn.XLOOKUP(C918,customers!$A$1:$A$1001,customers!$C$1:$C$1001,,0),IF(_xlpm.val=0,"",_xlpm.val))</f>
        <v/>
      </c>
      <c r="H918" s="2" t="str">
        <f>_xlfn.LET(_xlpm.val,_xlfn.XLOOKUP(C918,customers!$A$1:$A$1001,customers!$G$1:$G$1001,,0),IF(_xlpm.val=0,"",_xlpm.val))</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cm="1">
        <f t="array" ref="N918">_xlfn.SWITCH(I918,"rob","Robusta","exc","Excelsa","Ara","Arabica","Lib","Liberica","")</f>
        <v>Excelsa</v>
      </c>
      <c r="O918" t="str" cm="1">
        <f t="array" ref="O918">_xlfn.SWITCH(J918,"M","Medium","D","Dark","L","Light")</f>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_xlfn.LET(_xlpm.val,_xlfn.XLOOKUP(C919,customers!$A$1:$A$1001,customers!$C$1:$C$1001,,0),IF(_xlpm.val=0,"",_xlpm.val))</f>
        <v>csorrellph@amazon.com</v>
      </c>
      <c r="H919" s="2" t="str">
        <f>_xlfn.LET(_xlpm.val,_xlfn.XLOOKUP(C919,customers!$A$1:$A$1001,customers!$G$1:$G$1001,,0),IF(_xlpm.val=0,"",_xlpm.val))</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cm="1">
        <f t="array" ref="N919">_xlfn.SWITCH(I919,"rob","Robusta","exc","Excelsa","Ara","Arabica","Lib","Liberica","")</f>
        <v>Arabica</v>
      </c>
      <c r="O919" t="str" cm="1">
        <f t="array" ref="O919">_xlfn.SWITCH(J919,"M","Medium","D","Dark","L","Light")</f>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_xlfn.LET(_xlpm.val,_xlfn.XLOOKUP(C920,customers!$A$1:$A$1001,customers!$C$1:$C$1001,,0),IF(_xlpm.val=0,"",_xlpm.val))</f>
        <v>csorrellph@amazon.com</v>
      </c>
      <c r="H920" s="2" t="str">
        <f>_xlfn.LET(_xlpm.val,_xlfn.XLOOKUP(C920,customers!$A$1:$A$1001,customers!$G$1:$G$1001,,0),IF(_xlpm.val=0,"",_xlpm.val))</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cm="1">
        <f t="array" ref="N920">_xlfn.SWITCH(I920,"rob","Robusta","exc","Excelsa","Ara","Arabica","Lib","Liberica","")</f>
        <v>Excelsa</v>
      </c>
      <c r="O920" t="str" cm="1">
        <f t="array" ref="O920">_xlfn.SWITCH(J920,"M","Medium","D","Dark","L","Light")</f>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_xlfn.LET(_xlpm.val,_xlfn.XLOOKUP(C921,customers!$A$1:$A$1001,customers!$C$1:$C$1001,,0),IF(_xlpm.val=0,"",_xlpm.val))</f>
        <v>qheavysidepj@unc.edu</v>
      </c>
      <c r="H921" s="2" t="str">
        <f>_xlfn.LET(_xlpm.val,_xlfn.XLOOKUP(C921,customers!$A$1:$A$1001,customers!$G$1:$G$1001,,0),IF(_xlpm.val=0,"",_xlpm.val))</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cm="1">
        <f t="array" ref="N921">_xlfn.SWITCH(I921,"rob","Robusta","exc","Excelsa","Ara","Arabica","Lib","Liberica","")</f>
        <v>Robusta</v>
      </c>
      <c r="O921" t="str" cm="1">
        <f t="array" ref="O921">_xlfn.SWITCH(J921,"M","Medium","D","Dark","L","Light")</f>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_xlfn.LET(_xlpm.val,_xlfn.XLOOKUP(C922,customers!$A$1:$A$1001,customers!$C$1:$C$1001,,0),IF(_xlpm.val=0,"",_xlpm.val))</f>
        <v>hreuvenpk@whitehouse.gov</v>
      </c>
      <c r="H922" s="2" t="str">
        <f>_xlfn.LET(_xlpm.val,_xlfn.XLOOKUP(C922,customers!$A$1:$A$1001,customers!$G$1:$G$1001,,0),IF(_xlpm.val=0,"",_xlpm.val))</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cm="1">
        <f t="array" ref="N922">_xlfn.SWITCH(I922,"rob","Robusta","exc","Excelsa","Ara","Arabica","Lib","Liberica","")</f>
        <v>Robusta</v>
      </c>
      <c r="O922" t="str" cm="1">
        <f t="array" ref="O922">_xlfn.SWITCH(J922,"M","Medium","D","Dark","L","Light")</f>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_xlfn.LET(_xlpm.val,_xlfn.XLOOKUP(C923,customers!$A$1:$A$1001,customers!$C$1:$C$1001,,0),IF(_xlpm.val=0,"",_xlpm.val))</f>
        <v>mattwoolpl@nba.com</v>
      </c>
      <c r="H923" s="2" t="str">
        <f>_xlfn.LET(_xlpm.val,_xlfn.XLOOKUP(C923,customers!$A$1:$A$1001,customers!$G$1:$G$1001,,0),IF(_xlpm.val=0,"",_xlpm.val))</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cm="1">
        <f t="array" ref="N923">_xlfn.SWITCH(I923,"rob","Robusta","exc","Excelsa","Ara","Arabica","Lib","Liberica","")</f>
        <v>Liberica</v>
      </c>
      <c r="O923" t="str" cm="1">
        <f t="array" ref="O923">_xlfn.SWITCH(J923,"M","Medium","D","Dark","L","Light")</f>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_xlfn.LET(_xlpm.val,_xlfn.XLOOKUP(C924,customers!$A$1:$A$1001,customers!$C$1:$C$1001,,0),IF(_xlpm.val=0,"",_xlpm.val))</f>
        <v/>
      </c>
      <c r="H924" s="2" t="str">
        <f>_xlfn.LET(_xlpm.val,_xlfn.XLOOKUP(C924,customers!$A$1:$A$1001,customers!$G$1:$G$1001,,0),IF(_xlpm.val=0,"",_xlpm.val))</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cm="1">
        <f t="array" ref="N924">_xlfn.SWITCH(I924,"rob","Robusta","exc","Excelsa","Ara","Arabica","Lib","Liberica","")</f>
        <v>Arabica</v>
      </c>
      <c r="O924" t="str" cm="1">
        <f t="array" ref="O924">_xlfn.SWITCH(J924,"M","Medium","D","Dark","L","Light")</f>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_xlfn.LET(_xlpm.val,_xlfn.XLOOKUP(C925,customers!$A$1:$A$1001,customers!$C$1:$C$1001,,0),IF(_xlpm.val=0,"",_xlpm.val))</f>
        <v>gwynespn@dagondesign.com</v>
      </c>
      <c r="H925" s="2" t="str">
        <f>_xlfn.LET(_xlpm.val,_xlfn.XLOOKUP(C925,customers!$A$1:$A$1001,customers!$G$1:$G$1001,,0),IF(_xlpm.val=0,"",_xlpm.val))</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cm="1">
        <f t="array" ref="N925">_xlfn.SWITCH(I925,"rob","Robusta","exc","Excelsa","Ara","Arabica","Lib","Liberica","")</f>
        <v>Excelsa</v>
      </c>
      <c r="O925" t="str" cm="1">
        <f t="array" ref="O925">_xlfn.SWITCH(J925,"M","Medium","D","Dark","L","Light")</f>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_xlfn.LET(_xlpm.val,_xlfn.XLOOKUP(C926,customers!$A$1:$A$1001,customers!$C$1:$C$1001,,0),IF(_xlpm.val=0,"",_xlpm.val))</f>
        <v>cmaccourtpo@amazon.com</v>
      </c>
      <c r="H926" s="2" t="str">
        <f>_xlfn.LET(_xlpm.val,_xlfn.XLOOKUP(C926,customers!$A$1:$A$1001,customers!$G$1:$G$1001,,0),IF(_xlpm.val=0,"",_xlpm.val))</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cm="1">
        <f t="array" ref="N926">_xlfn.SWITCH(I926,"rob","Robusta","exc","Excelsa","Ara","Arabica","Lib","Liberica","")</f>
        <v>Arabica</v>
      </c>
      <c r="O926" t="str" cm="1">
        <f t="array" ref="O926">_xlfn.SWITCH(J926,"M","Medium","D","Dark","L","Light")</f>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_xlfn.LET(_xlpm.val,_xlfn.XLOOKUP(C927,customers!$A$1:$A$1001,customers!$C$1:$C$1001,,0),IF(_xlpm.val=0,"",_xlpm.val))</f>
        <v/>
      </c>
      <c r="H927" s="2" t="str">
        <f>_xlfn.LET(_xlpm.val,_xlfn.XLOOKUP(C927,customers!$A$1:$A$1001,customers!$G$1:$G$1001,,0),IF(_xlpm.val=0,"",_xlpm.val))</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cm="1">
        <f t="array" ref="N927">_xlfn.SWITCH(I927,"rob","Robusta","exc","Excelsa","Ara","Arabica","Lib","Liberica","")</f>
        <v>Arabica</v>
      </c>
      <c r="O927" t="str" cm="1">
        <f t="array" ref="O927">_xlfn.SWITCH(J927,"M","Medium","D","Dark","L","Light")</f>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_xlfn.LET(_xlpm.val,_xlfn.XLOOKUP(C928,customers!$A$1:$A$1001,customers!$C$1:$C$1001,,0),IF(_xlpm.val=0,"",_xlpm.val))</f>
        <v>ewilsonepq@eepurl.com</v>
      </c>
      <c r="H928" s="2" t="str">
        <f>_xlfn.LET(_xlpm.val,_xlfn.XLOOKUP(C928,customers!$A$1:$A$1001,customers!$G$1:$G$1001,,0),IF(_xlpm.val=0,"",_xlpm.val))</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cm="1">
        <f t="array" ref="N928">_xlfn.SWITCH(I928,"rob","Robusta","exc","Excelsa","Ara","Arabica","Lib","Liberica","")</f>
        <v>Arabica</v>
      </c>
      <c r="O928" t="str" cm="1">
        <f t="array" ref="O928">_xlfn.SWITCH(J928,"M","Medium","D","Dark","L","Light")</f>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_xlfn.LET(_xlpm.val,_xlfn.XLOOKUP(C929,customers!$A$1:$A$1001,customers!$C$1:$C$1001,,0),IF(_xlpm.val=0,"",_xlpm.val))</f>
        <v>dduffiepr@time.com</v>
      </c>
      <c r="H929" s="2" t="str">
        <f>_xlfn.LET(_xlpm.val,_xlfn.XLOOKUP(C929,customers!$A$1:$A$1001,customers!$G$1:$G$1001,,0),IF(_xlpm.val=0,"",_xlpm.val))</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cm="1">
        <f t="array" ref="N929">_xlfn.SWITCH(I929,"rob","Robusta","exc","Excelsa","Ara","Arabica","Lib","Liberica","")</f>
        <v>Excelsa</v>
      </c>
      <c r="O929" t="str" cm="1">
        <f t="array" ref="O929">_xlfn.SWITCH(J929,"M","Medium","D","Dark","L","Light")</f>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_xlfn.LET(_xlpm.val,_xlfn.XLOOKUP(C930,customers!$A$1:$A$1001,customers!$C$1:$C$1001,,0),IF(_xlpm.val=0,"",_xlpm.val))</f>
        <v>mmatiasekps@ucoz.ru</v>
      </c>
      <c r="H930" s="2" t="str">
        <f>_xlfn.LET(_xlpm.val,_xlfn.XLOOKUP(C930,customers!$A$1:$A$1001,customers!$G$1:$G$1001,,0),IF(_xlpm.val=0,"",_xlpm.val))</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cm="1">
        <f t="array" ref="N930">_xlfn.SWITCH(I930,"rob","Robusta","exc","Excelsa","Ara","Arabica","Lib","Liberica","")</f>
        <v>Excelsa</v>
      </c>
      <c r="O930" t="str" cm="1">
        <f t="array" ref="O930">_xlfn.SWITCH(J930,"M","Medium","D","Dark","L","Light")</f>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_xlfn.LET(_xlpm.val,_xlfn.XLOOKUP(C931,customers!$A$1:$A$1001,customers!$C$1:$C$1001,,0),IF(_xlpm.val=0,"",_xlpm.val))</f>
        <v>jcamillopt@shinystat.com</v>
      </c>
      <c r="H931" s="2" t="str">
        <f>_xlfn.LET(_xlpm.val,_xlfn.XLOOKUP(C931,customers!$A$1:$A$1001,customers!$G$1:$G$1001,,0),IF(_xlpm.val=0,"",_xlpm.val))</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cm="1">
        <f t="array" ref="N931">_xlfn.SWITCH(I931,"rob","Robusta","exc","Excelsa","Ara","Arabica","Lib","Liberica","")</f>
        <v>Excelsa</v>
      </c>
      <c r="O931" t="str" cm="1">
        <f t="array" ref="O931">_xlfn.SWITCH(J931,"M","Medium","D","Dark","L","Light")</f>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_xlfn.LET(_xlpm.val,_xlfn.XLOOKUP(C932,customers!$A$1:$A$1001,customers!$C$1:$C$1001,,0),IF(_xlpm.val=0,"",_xlpm.val))</f>
        <v>kphilbrickpu@cdc.gov</v>
      </c>
      <c r="H932" s="2" t="str">
        <f>_xlfn.LET(_xlpm.val,_xlfn.XLOOKUP(C932,customers!$A$1:$A$1001,customers!$G$1:$G$1001,,0),IF(_xlpm.val=0,"",_xlpm.val))</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cm="1">
        <f t="array" ref="N932">_xlfn.SWITCH(I932,"rob","Robusta","exc","Excelsa","Ara","Arabica","Lib","Liberica","")</f>
        <v>Excelsa</v>
      </c>
      <c r="O932" t="str" cm="1">
        <f t="array" ref="O932">_xlfn.SWITCH(J932,"M","Medium","D","Dark","L","Light")</f>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_xlfn.LET(_xlpm.val,_xlfn.XLOOKUP(C933,customers!$A$1:$A$1001,customers!$C$1:$C$1001,,0),IF(_xlpm.val=0,"",_xlpm.val))</f>
        <v/>
      </c>
      <c r="H933" s="2" t="str">
        <f>_xlfn.LET(_xlpm.val,_xlfn.XLOOKUP(C933,customers!$A$1:$A$1001,customers!$G$1:$G$1001,,0),IF(_xlpm.val=0,"",_xlpm.val))</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cm="1">
        <f t="array" ref="N933">_xlfn.SWITCH(I933,"rob","Robusta","exc","Excelsa","Ara","Arabica","Lib","Liberica","")</f>
        <v>Arabica</v>
      </c>
      <c r="O933" t="str" cm="1">
        <f t="array" ref="O933">_xlfn.SWITCH(J933,"M","Medium","D","Dark","L","Light")</f>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_xlfn.LET(_xlpm.val,_xlfn.XLOOKUP(C934,customers!$A$1:$A$1001,customers!$C$1:$C$1001,,0),IF(_xlpm.val=0,"",_xlpm.val))</f>
        <v>bsillispw@istockphoto.com</v>
      </c>
      <c r="H934" s="2" t="str">
        <f>_xlfn.LET(_xlpm.val,_xlfn.XLOOKUP(C934,customers!$A$1:$A$1001,customers!$G$1:$G$1001,,0),IF(_xlpm.val=0,"",_xlpm.val))</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cm="1">
        <f t="array" ref="N934">_xlfn.SWITCH(I934,"rob","Robusta","exc","Excelsa","Ara","Arabica","Lib","Liberica","")</f>
        <v>Excelsa</v>
      </c>
      <c r="O934" t="str" cm="1">
        <f t="array" ref="O934">_xlfn.SWITCH(J934,"M","Medium","D","Dark","L","Light")</f>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_xlfn.LET(_xlpm.val,_xlfn.XLOOKUP(C935,customers!$A$1:$A$1001,customers!$C$1:$C$1001,,0),IF(_xlpm.val=0,"",_xlpm.val))</f>
        <v/>
      </c>
      <c r="H935" s="2" t="str">
        <f>_xlfn.LET(_xlpm.val,_xlfn.XLOOKUP(C935,customers!$A$1:$A$1001,customers!$G$1:$G$1001,,0),IF(_xlpm.val=0,"",_xlpm.val))</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cm="1">
        <f t="array" ref="N935">_xlfn.SWITCH(I935,"rob","Robusta","exc","Excelsa","Ara","Arabica","Lib","Liberica","")</f>
        <v>Robusta</v>
      </c>
      <c r="O935" t="str" cm="1">
        <f t="array" ref="O935">_xlfn.SWITCH(J935,"M","Medium","D","Dark","L","Light")</f>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_xlfn.LET(_xlpm.val,_xlfn.XLOOKUP(C936,customers!$A$1:$A$1001,customers!$C$1:$C$1001,,0),IF(_xlpm.val=0,"",_xlpm.val))</f>
        <v>rcuttspy@techcrunch.com</v>
      </c>
      <c r="H936" s="2" t="str">
        <f>_xlfn.LET(_xlpm.val,_xlfn.XLOOKUP(C936,customers!$A$1:$A$1001,customers!$G$1:$G$1001,,0),IF(_xlpm.val=0,"",_xlpm.val))</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cm="1">
        <f t="array" ref="N936">_xlfn.SWITCH(I936,"rob","Robusta","exc","Excelsa","Ara","Arabica","Lib","Liberica","")</f>
        <v>Robusta</v>
      </c>
      <c r="O936" t="str" cm="1">
        <f t="array" ref="O936">_xlfn.SWITCH(J936,"M","Medium","D","Dark","L","Light")</f>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_xlfn.LET(_xlpm.val,_xlfn.XLOOKUP(C937,customers!$A$1:$A$1001,customers!$C$1:$C$1001,,0),IF(_xlpm.val=0,"",_xlpm.val))</f>
        <v>mdelvespz@nature.com</v>
      </c>
      <c r="H937" s="2" t="str">
        <f>_xlfn.LET(_xlpm.val,_xlfn.XLOOKUP(C937,customers!$A$1:$A$1001,customers!$G$1:$G$1001,,0),IF(_xlpm.val=0,"",_xlpm.val))</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cm="1">
        <f t="array" ref="N937">_xlfn.SWITCH(I937,"rob","Robusta","exc","Excelsa","Ara","Arabica","Lib","Liberica","")</f>
        <v>Arabica</v>
      </c>
      <c r="O937" t="str" cm="1">
        <f t="array" ref="O937">_xlfn.SWITCH(J937,"M","Medium","D","Dark","L","Light")</f>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_xlfn.LET(_xlpm.val,_xlfn.XLOOKUP(C938,customers!$A$1:$A$1001,customers!$C$1:$C$1001,,0),IF(_xlpm.val=0,"",_xlpm.val))</f>
        <v>dgrittonq0@nydailynews.com</v>
      </c>
      <c r="H938" s="2" t="str">
        <f>_xlfn.LET(_xlpm.val,_xlfn.XLOOKUP(C938,customers!$A$1:$A$1001,customers!$G$1:$G$1001,,0),IF(_xlpm.val=0,"",_xlpm.val))</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cm="1">
        <f t="array" ref="N938">_xlfn.SWITCH(I938,"rob","Robusta","exc","Excelsa","Ara","Arabica","Lib","Liberica","")</f>
        <v>Liberica</v>
      </c>
      <c r="O938" t="str" cm="1">
        <f t="array" ref="O938">_xlfn.SWITCH(J938,"M","Medium","D","Dark","L","Light")</f>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_xlfn.LET(_xlpm.val,_xlfn.XLOOKUP(C939,customers!$A$1:$A$1001,customers!$C$1:$C$1001,,0),IF(_xlpm.val=0,"",_xlpm.val))</f>
        <v>dgrittonq0@nydailynews.com</v>
      </c>
      <c r="H939" s="2" t="str">
        <f>_xlfn.LET(_xlpm.val,_xlfn.XLOOKUP(C939,customers!$A$1:$A$1001,customers!$G$1:$G$1001,,0),IF(_xlpm.val=0,"",_xlpm.val))</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cm="1">
        <f t="array" ref="N939">_xlfn.SWITCH(I939,"rob","Robusta","exc","Excelsa","Ara","Arabica","Lib","Liberica","")</f>
        <v>Robusta</v>
      </c>
      <c r="O939" t="str" cm="1">
        <f t="array" ref="O939">_xlfn.SWITCH(J939,"M","Medium","D","Dark","L","Light")</f>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_xlfn.LET(_xlpm.val,_xlfn.XLOOKUP(C940,customers!$A$1:$A$1001,customers!$C$1:$C$1001,,0),IF(_xlpm.val=0,"",_xlpm.val))</f>
        <v>dgutq2@umich.edu</v>
      </c>
      <c r="H940" s="2" t="str">
        <f>_xlfn.LET(_xlpm.val,_xlfn.XLOOKUP(C940,customers!$A$1:$A$1001,customers!$G$1:$G$1001,,0),IF(_xlpm.val=0,"",_xlpm.val))</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cm="1">
        <f t="array" ref="N940">_xlfn.SWITCH(I940,"rob","Robusta","exc","Excelsa","Ara","Arabica","Lib","Liberica","")</f>
        <v>Excelsa</v>
      </c>
      <c r="O940" t="str" cm="1">
        <f t="array" ref="O940">_xlfn.SWITCH(J940,"M","Medium","D","Dark","L","Light")</f>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_xlfn.LET(_xlpm.val,_xlfn.XLOOKUP(C941,customers!$A$1:$A$1001,customers!$C$1:$C$1001,,0),IF(_xlpm.val=0,"",_xlpm.val))</f>
        <v>wpummeryq3@topsy.com</v>
      </c>
      <c r="H941" s="2" t="str">
        <f>_xlfn.LET(_xlpm.val,_xlfn.XLOOKUP(C941,customers!$A$1:$A$1001,customers!$G$1:$G$1001,,0),IF(_xlpm.val=0,"",_xlpm.val))</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cm="1">
        <f t="array" ref="N941">_xlfn.SWITCH(I941,"rob","Robusta","exc","Excelsa","Ara","Arabica","Lib","Liberica","")</f>
        <v>Liberica</v>
      </c>
      <c r="O941" t="str" cm="1">
        <f t="array" ref="O941">_xlfn.SWITCH(J941,"M","Medium","D","Dark","L","Light")</f>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_xlfn.LET(_xlpm.val,_xlfn.XLOOKUP(C942,customers!$A$1:$A$1001,customers!$C$1:$C$1001,,0),IF(_xlpm.val=0,"",_xlpm.val))</f>
        <v>gsiudaq4@nytimes.com</v>
      </c>
      <c r="H942" s="2" t="str">
        <f>_xlfn.LET(_xlpm.val,_xlfn.XLOOKUP(C942,customers!$A$1:$A$1001,customers!$G$1:$G$1001,,0),IF(_xlpm.val=0,"",_xlpm.val))</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cm="1">
        <f t="array" ref="N942">_xlfn.SWITCH(I942,"rob","Robusta","exc","Excelsa","Ara","Arabica","Lib","Liberica","")</f>
        <v>Robusta</v>
      </c>
      <c r="O942" t="str" cm="1">
        <f t="array" ref="O942">_xlfn.SWITCH(J942,"M","Medium","D","Dark","L","Light")</f>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_xlfn.LET(_xlpm.val,_xlfn.XLOOKUP(C943,customers!$A$1:$A$1001,customers!$C$1:$C$1001,,0),IF(_xlpm.val=0,"",_xlpm.val))</f>
        <v>hcrowneq5@wufoo.com</v>
      </c>
      <c r="H943" s="2" t="str">
        <f>_xlfn.LET(_xlpm.val,_xlfn.XLOOKUP(C943,customers!$A$1:$A$1001,customers!$G$1:$G$1001,,0),IF(_xlpm.val=0,"",_xlpm.val))</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cm="1">
        <f t="array" ref="N943">_xlfn.SWITCH(I943,"rob","Robusta","exc","Excelsa","Ara","Arabica","Lib","Liberica","")</f>
        <v>Arabica</v>
      </c>
      <c r="O943" t="str" cm="1">
        <f t="array" ref="O943">_xlfn.SWITCH(J943,"M","Medium","D","Dark","L","Light")</f>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_xlfn.LET(_xlpm.val,_xlfn.XLOOKUP(C944,customers!$A$1:$A$1001,customers!$C$1:$C$1001,,0),IF(_xlpm.val=0,"",_xlpm.val))</f>
        <v>vpawseyq6@tiny.cc</v>
      </c>
      <c r="H944" s="2" t="str">
        <f>_xlfn.LET(_xlpm.val,_xlfn.XLOOKUP(C944,customers!$A$1:$A$1001,customers!$G$1:$G$1001,,0),IF(_xlpm.val=0,"",_xlpm.val))</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cm="1">
        <f t="array" ref="N944">_xlfn.SWITCH(I944,"rob","Robusta","exc","Excelsa","Ara","Arabica","Lib","Liberica","")</f>
        <v>Robusta</v>
      </c>
      <c r="O944" t="str" cm="1">
        <f t="array" ref="O944">_xlfn.SWITCH(J944,"M","Medium","D","Dark","L","Light")</f>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_xlfn.LET(_xlpm.val,_xlfn.XLOOKUP(C945,customers!$A$1:$A$1001,customers!$C$1:$C$1001,,0),IF(_xlpm.val=0,"",_xlpm.val))</f>
        <v>awaterhouseq7@istockphoto.com</v>
      </c>
      <c r="H945" s="2" t="str">
        <f>_xlfn.LET(_xlpm.val,_xlfn.XLOOKUP(C945,customers!$A$1:$A$1001,customers!$G$1:$G$1001,,0),IF(_xlpm.val=0,"",_xlpm.val))</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cm="1">
        <f t="array" ref="N945">_xlfn.SWITCH(I945,"rob","Robusta","exc","Excelsa","Ara","Arabica","Lib","Liberica","")</f>
        <v>Arabica</v>
      </c>
      <c r="O945" t="str" cm="1">
        <f t="array" ref="O945">_xlfn.SWITCH(J945,"M","Medium","D","Dark","L","Light")</f>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_xlfn.LET(_xlpm.val,_xlfn.XLOOKUP(C946,customers!$A$1:$A$1001,customers!$C$1:$C$1001,,0),IF(_xlpm.val=0,"",_xlpm.val))</f>
        <v>fhaughianq8@1688.com</v>
      </c>
      <c r="H946" s="2" t="str">
        <f>_xlfn.LET(_xlpm.val,_xlfn.XLOOKUP(C946,customers!$A$1:$A$1001,customers!$G$1:$G$1001,,0),IF(_xlpm.val=0,"",_xlpm.val))</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cm="1">
        <f t="array" ref="N946">_xlfn.SWITCH(I946,"rob","Robusta","exc","Excelsa","Ara","Arabica","Lib","Liberica","")</f>
        <v>Robusta</v>
      </c>
      <c r="O946" t="str" cm="1">
        <f t="array" ref="O946">_xlfn.SWITCH(J946,"M","Medium","D","Dark","L","Light")</f>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_xlfn.LET(_xlpm.val,_xlfn.XLOOKUP(C947,customers!$A$1:$A$1001,customers!$C$1:$C$1001,,0),IF(_xlpm.val=0,"",_xlpm.val))</f>
        <v/>
      </c>
      <c r="H947" s="2" t="str">
        <f>_xlfn.LET(_xlpm.val,_xlfn.XLOOKUP(C947,customers!$A$1:$A$1001,customers!$G$1:$G$1001,,0),IF(_xlpm.val=0,"",_xlpm.val))</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cm="1">
        <f t="array" ref="N947">_xlfn.SWITCH(I947,"rob","Robusta","exc","Excelsa","Ara","Arabica","Lib","Liberica","")</f>
        <v>Liberica</v>
      </c>
      <c r="O947" t="str" cm="1">
        <f t="array" ref="O947">_xlfn.SWITCH(J947,"M","Medium","D","Dark","L","Light")</f>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_xlfn.LET(_xlpm.val,_xlfn.XLOOKUP(C948,customers!$A$1:$A$1001,customers!$C$1:$C$1001,,0),IF(_xlpm.val=0,"",_xlpm.val))</f>
        <v/>
      </c>
      <c r="H948" s="2" t="str">
        <f>_xlfn.LET(_xlpm.val,_xlfn.XLOOKUP(C948,customers!$A$1:$A$1001,customers!$G$1:$G$1001,,0),IF(_xlpm.val=0,"",_xlpm.val))</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cm="1">
        <f t="array" ref="N948">_xlfn.SWITCH(I948,"rob","Robusta","exc","Excelsa","Ara","Arabica","Lib","Liberica","")</f>
        <v>Liberica</v>
      </c>
      <c r="O948" t="str" cm="1">
        <f t="array" ref="O948">_xlfn.SWITCH(J948,"M","Medium","D","Dark","L","Light")</f>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_xlfn.LET(_xlpm.val,_xlfn.XLOOKUP(C949,customers!$A$1:$A$1001,customers!$C$1:$C$1001,,0),IF(_xlpm.val=0,"",_xlpm.val))</f>
        <v>rfaltinqb@topsy.com</v>
      </c>
      <c r="H949" s="2" t="str">
        <f>_xlfn.LET(_xlpm.val,_xlfn.XLOOKUP(C949,customers!$A$1:$A$1001,customers!$G$1:$G$1001,,0),IF(_xlpm.val=0,"",_xlpm.val))</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cm="1">
        <f t="array" ref="N949">_xlfn.SWITCH(I949,"rob","Robusta","exc","Excelsa","Ara","Arabica","Lib","Liberica","")</f>
        <v>Arabica</v>
      </c>
      <c r="O949" t="str" cm="1">
        <f t="array" ref="O949">_xlfn.SWITCH(J949,"M","Medium","D","Dark","L","Light")</f>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_xlfn.LET(_xlpm.val,_xlfn.XLOOKUP(C950,customers!$A$1:$A$1001,customers!$C$1:$C$1001,,0),IF(_xlpm.val=0,"",_xlpm.val))</f>
        <v>gcheekeqc@sitemeter.com</v>
      </c>
      <c r="H950" s="2" t="str">
        <f>_xlfn.LET(_xlpm.val,_xlfn.XLOOKUP(C950,customers!$A$1:$A$1001,customers!$G$1:$G$1001,,0),IF(_xlpm.val=0,"",_xlpm.val))</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cm="1">
        <f t="array" ref="N950">_xlfn.SWITCH(I950,"rob","Robusta","exc","Excelsa","Ara","Arabica","Lib","Liberica","")</f>
        <v>Excelsa</v>
      </c>
      <c r="O950" t="str" cm="1">
        <f t="array" ref="O950">_xlfn.SWITCH(J950,"M","Medium","D","Dark","L","Light")</f>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_xlfn.LET(_xlpm.val,_xlfn.XLOOKUP(C951,customers!$A$1:$A$1001,customers!$C$1:$C$1001,,0),IF(_xlpm.val=0,"",_xlpm.val))</f>
        <v>grattqd@phpbb.com</v>
      </c>
      <c r="H951" s="2" t="str">
        <f>_xlfn.LET(_xlpm.val,_xlfn.XLOOKUP(C951,customers!$A$1:$A$1001,customers!$G$1:$G$1001,,0),IF(_xlpm.val=0,"",_xlpm.val))</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cm="1">
        <f t="array" ref="N951">_xlfn.SWITCH(I951,"rob","Robusta","exc","Excelsa","Ara","Arabica","Lib","Liberica","")</f>
        <v>Robusta</v>
      </c>
      <c r="O951" t="str" cm="1">
        <f t="array" ref="O951">_xlfn.SWITCH(J951,"M","Medium","D","Dark","L","Light")</f>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_xlfn.LET(_xlpm.val,_xlfn.XLOOKUP(C952,customers!$A$1:$A$1001,customers!$C$1:$C$1001,,0),IF(_xlpm.val=0,"",_xlpm.val))</f>
        <v/>
      </c>
      <c r="H952" s="2" t="str">
        <f>_xlfn.LET(_xlpm.val,_xlfn.XLOOKUP(C952,customers!$A$1:$A$1001,customers!$G$1:$G$1001,,0),IF(_xlpm.val=0,"",_xlpm.val))</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cm="1">
        <f t="array" ref="N952">_xlfn.SWITCH(I952,"rob","Robusta","exc","Excelsa","Ara","Arabica","Lib","Liberica","")</f>
        <v>Robusta</v>
      </c>
      <c r="O952" t="str" cm="1">
        <f t="array" ref="O952">_xlfn.SWITCH(J952,"M","Medium","D","Dark","L","Light")</f>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_xlfn.LET(_xlpm.val,_xlfn.XLOOKUP(C953,customers!$A$1:$A$1001,customers!$C$1:$C$1001,,0),IF(_xlpm.val=0,"",_xlpm.val))</f>
        <v>ieberleinqf@hc360.com</v>
      </c>
      <c r="H953" s="2" t="str">
        <f>_xlfn.LET(_xlpm.val,_xlfn.XLOOKUP(C953,customers!$A$1:$A$1001,customers!$G$1:$G$1001,,0),IF(_xlpm.val=0,"",_xlpm.val))</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cm="1">
        <f t="array" ref="N953">_xlfn.SWITCH(I953,"rob","Robusta","exc","Excelsa","Ara","Arabica","Lib","Liberica","")</f>
        <v>Robusta</v>
      </c>
      <c r="O953" t="str" cm="1">
        <f t="array" ref="O953">_xlfn.SWITCH(J953,"M","Medium","D","Dark","L","Light")</f>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_xlfn.LET(_xlpm.val,_xlfn.XLOOKUP(C954,customers!$A$1:$A$1001,customers!$C$1:$C$1001,,0),IF(_xlpm.val=0,"",_xlpm.val))</f>
        <v>jdrengqg@uiuc.edu</v>
      </c>
      <c r="H954" s="2" t="str">
        <f>_xlfn.LET(_xlpm.val,_xlfn.XLOOKUP(C954,customers!$A$1:$A$1001,customers!$G$1:$G$1001,,0),IF(_xlpm.val=0,"",_xlpm.val))</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cm="1">
        <f t="array" ref="N954">_xlfn.SWITCH(I954,"rob","Robusta","exc","Excelsa","Ara","Arabica","Lib","Liberica","")</f>
        <v>Arabica</v>
      </c>
      <c r="O954" t="str" cm="1">
        <f t="array" ref="O954">_xlfn.SWITCH(J954,"M","Medium","D","Dark","L","Light")</f>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_xlfn.LET(_xlpm.val,_xlfn.XLOOKUP(C955,customers!$A$1:$A$1001,customers!$C$1:$C$1001,,0),IF(_xlpm.val=0,"",_xlpm.val))</f>
        <v/>
      </c>
      <c r="H955" s="2" t="str">
        <f>_xlfn.LET(_xlpm.val,_xlfn.XLOOKUP(C955,customers!$A$1:$A$1001,customers!$G$1:$G$1001,,0),IF(_xlpm.val=0,"",_xlpm.val))</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cm="1">
        <f t="array" ref="N955">_xlfn.SWITCH(I955,"rob","Robusta","exc","Excelsa","Ara","Arabica","Lib","Liberica","")</f>
        <v>Arabica</v>
      </c>
      <c r="O955" t="str" cm="1">
        <f t="array" ref="O955">_xlfn.SWITCH(J955,"M","Medium","D","Dark","L","Light")</f>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_xlfn.LET(_xlpm.val,_xlfn.XLOOKUP(C956,customers!$A$1:$A$1001,customers!$C$1:$C$1001,,0),IF(_xlpm.val=0,"",_xlpm.val))</f>
        <v/>
      </c>
      <c r="H956" s="2" t="str">
        <f>_xlfn.LET(_xlpm.val,_xlfn.XLOOKUP(C956,customers!$A$1:$A$1001,customers!$G$1:$G$1001,,0),IF(_xlpm.val=0,"",_xlpm.val))</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cm="1">
        <f t="array" ref="N956">_xlfn.SWITCH(I956,"rob","Robusta","exc","Excelsa","Ara","Arabica","Lib","Liberica","")</f>
        <v>Excelsa</v>
      </c>
      <c r="O956" t="str" cm="1">
        <f t="array" ref="O956">_xlfn.SWITCH(J956,"M","Medium","D","Dark","L","Light")</f>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_xlfn.LET(_xlpm.val,_xlfn.XLOOKUP(C957,customers!$A$1:$A$1001,customers!$C$1:$C$1001,,0),IF(_xlpm.val=0,"",_xlpm.val))</f>
        <v/>
      </c>
      <c r="H957" s="2" t="str">
        <f>_xlfn.LET(_xlpm.val,_xlfn.XLOOKUP(C957,customers!$A$1:$A$1001,customers!$G$1:$G$1001,,0),IF(_xlpm.val=0,"",_xlpm.val))</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cm="1">
        <f t="array" ref="N957">_xlfn.SWITCH(I957,"rob","Robusta","exc","Excelsa","Ara","Arabica","Lib","Liberica","")</f>
        <v>Excelsa</v>
      </c>
      <c r="O957" t="str" cm="1">
        <f t="array" ref="O957">_xlfn.SWITCH(J957,"M","Medium","D","Dark","L","Light")</f>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_xlfn.LET(_xlpm.val,_xlfn.XLOOKUP(C958,customers!$A$1:$A$1001,customers!$C$1:$C$1001,,0),IF(_xlpm.val=0,"",_xlpm.val))</f>
        <v/>
      </c>
      <c r="H958" s="2" t="str">
        <f>_xlfn.LET(_xlpm.val,_xlfn.XLOOKUP(C958,customers!$A$1:$A$1001,customers!$G$1:$G$1001,,0),IF(_xlpm.val=0,"",_xlpm.val))</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cm="1">
        <f t="array" ref="N958">_xlfn.SWITCH(I958,"rob","Robusta","exc","Excelsa","Ara","Arabica","Lib","Liberica","")</f>
        <v>Robusta</v>
      </c>
      <c r="O958" t="str" cm="1">
        <f t="array" ref="O958">_xlfn.SWITCH(J958,"M","Medium","D","Dark","L","Light")</f>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_xlfn.LET(_xlpm.val,_xlfn.XLOOKUP(C959,customers!$A$1:$A$1001,customers!$C$1:$C$1001,,0),IF(_xlpm.val=0,"",_xlpm.val))</f>
        <v/>
      </c>
      <c r="H959" s="2" t="str">
        <f>_xlfn.LET(_xlpm.val,_xlfn.XLOOKUP(C959,customers!$A$1:$A$1001,customers!$G$1:$G$1001,,0),IF(_xlpm.val=0,"",_xlpm.val))</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cm="1">
        <f t="array" ref="N959">_xlfn.SWITCH(I959,"rob","Robusta","exc","Excelsa","Ara","Arabica","Lib","Liberica","")</f>
        <v>Excelsa</v>
      </c>
      <c r="O959" t="str" cm="1">
        <f t="array" ref="O959">_xlfn.SWITCH(J959,"M","Medium","D","Dark","L","Light")</f>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_xlfn.LET(_xlpm.val,_xlfn.XLOOKUP(C960,customers!$A$1:$A$1001,customers!$C$1:$C$1001,,0),IF(_xlpm.val=0,"",_xlpm.val))</f>
        <v/>
      </c>
      <c r="H960" s="2" t="str">
        <f>_xlfn.LET(_xlpm.val,_xlfn.XLOOKUP(C960,customers!$A$1:$A$1001,customers!$G$1:$G$1001,,0),IF(_xlpm.val=0,"",_xlpm.val))</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cm="1">
        <f t="array" ref="N960">_xlfn.SWITCH(I960,"rob","Robusta","exc","Excelsa","Ara","Arabica","Lib","Liberica","")</f>
        <v>Arabica</v>
      </c>
      <c r="O960" t="str" cm="1">
        <f t="array" ref="O960">_xlfn.SWITCH(J960,"M","Medium","D","Dark","L","Light")</f>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_xlfn.LET(_xlpm.val,_xlfn.XLOOKUP(C961,customers!$A$1:$A$1001,customers!$C$1:$C$1001,,0),IF(_xlpm.val=0,"",_xlpm.val))</f>
        <v>rstrathernqn@devhub.com</v>
      </c>
      <c r="H961" s="2" t="str">
        <f>_xlfn.LET(_xlpm.val,_xlfn.XLOOKUP(C961,customers!$A$1:$A$1001,customers!$G$1:$G$1001,,0),IF(_xlpm.val=0,"",_xlpm.val))</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cm="1">
        <f t="array" ref="N961">_xlfn.SWITCH(I961,"rob","Robusta","exc","Excelsa","Ara","Arabica","Lib","Liberica","")</f>
        <v>Liberica</v>
      </c>
      <c r="O961" t="str" cm="1">
        <f t="array" ref="O961">_xlfn.SWITCH(J961,"M","Medium","D","Dark","L","Light")</f>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_xlfn.LET(_xlpm.val,_xlfn.XLOOKUP(C962,customers!$A$1:$A$1001,customers!$C$1:$C$1001,,0),IF(_xlpm.val=0,"",_xlpm.val))</f>
        <v>cmiguelqo@exblog.jp</v>
      </c>
      <c r="H962" s="2" t="str">
        <f>_xlfn.LET(_xlpm.val,_xlfn.XLOOKUP(C962,customers!$A$1:$A$1001,customers!$G$1:$G$1001,,0),IF(_xlpm.val=0,"",_xlpm.val))</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cm="1">
        <f t="array" ref="N962">_xlfn.SWITCH(I962,"rob","Robusta","exc","Excelsa","Ara","Arabica","Lib","Liberica","")</f>
        <v>Liberica</v>
      </c>
      <c r="O962" t="str" cm="1">
        <f t="array" ref="O962">_xlfn.SWITCH(J962,"M","Medium","D","Dark","L","Light")</f>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_xlfn.LET(_xlpm.val,_xlfn.XLOOKUP(C963,customers!$A$1:$A$1001,customers!$C$1:$C$1001,,0),IF(_xlpm.val=0,"",_xlpm.val))</f>
        <v/>
      </c>
      <c r="H963" s="2" t="str">
        <f>_xlfn.LET(_xlpm.val,_xlfn.XLOOKUP(C963,customers!$A$1:$A$1001,customers!$G$1:$G$1001,,0),IF(_xlpm.val=0,"",_xlpm.val))</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L963*E963</f>
        <v>45.769999999999996</v>
      </c>
      <c r="N963" t="str" cm="1">
        <f t="array" ref="N963">_xlfn.SWITCH(I963,"rob","Robusta","exc","Excelsa","Ara","Arabica","Lib","Liberica","")</f>
        <v>Arabica</v>
      </c>
      <c r="O963" t="str" cm="1">
        <f t="array" ref="O963">_xlfn.SWITCH(J963,"M","Medium","D","Dark","L","Light")</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_xlfn.LET(_xlpm.val,_xlfn.XLOOKUP(C964,customers!$A$1:$A$1001,customers!$C$1:$C$1001,,0),IF(_xlpm.val=0,"",_xlpm.val))</f>
        <v>mrocksqq@exblog.jp</v>
      </c>
      <c r="H964" s="2" t="str">
        <f>_xlfn.LET(_xlpm.val,_xlfn.XLOOKUP(C964,customers!$A$1:$A$1001,customers!$G$1:$G$1001,,0),IF(_xlpm.val=0,"",_xlpm.val))</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cm="1">
        <f t="array" ref="N964">_xlfn.SWITCH(I964,"rob","Robusta","exc","Excelsa","Ara","Arabica","Lib","Liberica","")</f>
        <v>Robusta</v>
      </c>
      <c r="O964" t="str" cm="1">
        <f t="array" ref="O964">_xlfn.SWITCH(J964,"M","Medium","D","Dark","L","Light")</f>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_xlfn.LET(_xlpm.val,_xlfn.XLOOKUP(C965,customers!$A$1:$A$1001,customers!$C$1:$C$1001,,0),IF(_xlpm.val=0,"",_xlpm.val))</f>
        <v>yburrellsqr@vinaora.com</v>
      </c>
      <c r="H965" s="2" t="str">
        <f>_xlfn.LET(_xlpm.val,_xlfn.XLOOKUP(C965,customers!$A$1:$A$1001,customers!$G$1:$G$1001,,0),IF(_xlpm.val=0,"",_xlpm.val))</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cm="1">
        <f t="array" ref="N965">_xlfn.SWITCH(I965,"rob","Robusta","exc","Excelsa","Ara","Arabica","Lib","Liberica","")</f>
        <v>Robusta</v>
      </c>
      <c r="O965" t="str" cm="1">
        <f t="array" ref="O965">_xlfn.SWITCH(J965,"M","Medium","D","Dark","L","Light")</f>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_xlfn.LET(_xlpm.val,_xlfn.XLOOKUP(C966,customers!$A$1:$A$1001,customers!$C$1:$C$1001,,0),IF(_xlpm.val=0,"",_xlpm.val))</f>
        <v>cgoodrumqs@goodreads.com</v>
      </c>
      <c r="H966" s="2" t="str">
        <f>_xlfn.LET(_xlpm.val,_xlfn.XLOOKUP(C966,customers!$A$1:$A$1001,customers!$G$1:$G$1001,,0),IF(_xlpm.val=0,"",_xlpm.val))</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cm="1">
        <f t="array" ref="N966">_xlfn.SWITCH(I966,"rob","Robusta","exc","Excelsa","Ara","Arabica","Lib","Liberica","")</f>
        <v>Excelsa</v>
      </c>
      <c r="O966" t="str" cm="1">
        <f t="array" ref="O966">_xlfn.SWITCH(J966,"M","Medium","D","Dark","L","Light")</f>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_xlfn.LET(_xlpm.val,_xlfn.XLOOKUP(C967,customers!$A$1:$A$1001,customers!$C$1:$C$1001,,0),IF(_xlpm.val=0,"",_xlpm.val))</f>
        <v>jjefferysqt@blog.com</v>
      </c>
      <c r="H967" s="2" t="str">
        <f>_xlfn.LET(_xlpm.val,_xlfn.XLOOKUP(C967,customers!$A$1:$A$1001,customers!$G$1:$G$1001,,0),IF(_xlpm.val=0,"",_xlpm.val))</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cm="1">
        <f t="array" ref="N967">_xlfn.SWITCH(I967,"rob","Robusta","exc","Excelsa","Ara","Arabica","Lib","Liberica","")</f>
        <v>Robusta</v>
      </c>
      <c r="O967" t="str" cm="1">
        <f t="array" ref="O967">_xlfn.SWITCH(J967,"M","Medium","D","Dark","L","Light")</f>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_xlfn.LET(_xlpm.val,_xlfn.XLOOKUP(C968,customers!$A$1:$A$1001,customers!$C$1:$C$1001,,0),IF(_xlpm.val=0,"",_xlpm.val))</f>
        <v>bwardellqu@adobe.com</v>
      </c>
      <c r="H968" s="2" t="str">
        <f>_xlfn.LET(_xlpm.val,_xlfn.XLOOKUP(C968,customers!$A$1:$A$1001,customers!$G$1:$G$1001,,0),IF(_xlpm.val=0,"",_xlpm.val))</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cm="1">
        <f t="array" ref="N968">_xlfn.SWITCH(I968,"rob","Robusta","exc","Excelsa","Ara","Arabica","Lib","Liberica","")</f>
        <v>Excelsa</v>
      </c>
      <c r="O968" t="str" cm="1">
        <f t="array" ref="O968">_xlfn.SWITCH(J968,"M","Medium","D","Dark","L","Light")</f>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_xlfn.LET(_xlpm.val,_xlfn.XLOOKUP(C969,customers!$A$1:$A$1001,customers!$C$1:$C$1001,,0),IF(_xlpm.val=0,"",_xlpm.val))</f>
        <v>zwalisiakqv@ucsd.edu</v>
      </c>
      <c r="H969" s="2" t="str">
        <f>_xlfn.LET(_xlpm.val,_xlfn.XLOOKUP(C969,customers!$A$1:$A$1001,customers!$G$1:$G$1001,,0),IF(_xlpm.val=0,"",_xlpm.val))</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cm="1">
        <f t="array" ref="N969">_xlfn.SWITCH(I969,"rob","Robusta","exc","Excelsa","Ara","Arabica","Lib","Liberica","")</f>
        <v>Robusta</v>
      </c>
      <c r="O969" t="str" cm="1">
        <f t="array" ref="O969">_xlfn.SWITCH(J969,"M","Medium","D","Dark","L","Light")</f>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_xlfn.LET(_xlpm.val,_xlfn.XLOOKUP(C970,customers!$A$1:$A$1001,customers!$C$1:$C$1001,,0),IF(_xlpm.val=0,"",_xlpm.val))</f>
        <v>wleopoldqw@blogspot.com</v>
      </c>
      <c r="H970" s="2" t="str">
        <f>_xlfn.LET(_xlpm.val,_xlfn.XLOOKUP(C970,customers!$A$1:$A$1001,customers!$G$1:$G$1001,,0),IF(_xlpm.val=0,"",_xlpm.val))</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cm="1">
        <f t="array" ref="N970">_xlfn.SWITCH(I970,"rob","Robusta","exc","Excelsa","Ara","Arabica","Lib","Liberica","")</f>
        <v>Robusta</v>
      </c>
      <c r="O970" t="str" cm="1">
        <f t="array" ref="O970">_xlfn.SWITCH(J970,"M","Medium","D","Dark","L","Light")</f>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_xlfn.LET(_xlpm.val,_xlfn.XLOOKUP(C971,customers!$A$1:$A$1001,customers!$C$1:$C$1001,,0),IF(_xlpm.val=0,"",_xlpm.val))</f>
        <v>cshaldersqx@cisco.com</v>
      </c>
      <c r="H971" s="2" t="str">
        <f>_xlfn.LET(_xlpm.val,_xlfn.XLOOKUP(C971,customers!$A$1:$A$1001,customers!$G$1:$G$1001,,0),IF(_xlpm.val=0,"",_xlpm.val))</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cm="1">
        <f t="array" ref="N971">_xlfn.SWITCH(I971,"rob","Robusta","exc","Excelsa","Ara","Arabica","Lib","Liberica","")</f>
        <v>Liberica</v>
      </c>
      <c r="O971" t="str" cm="1">
        <f t="array" ref="O971">_xlfn.SWITCH(J971,"M","Medium","D","Dark","L","Light")</f>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_xlfn.LET(_xlpm.val,_xlfn.XLOOKUP(C972,customers!$A$1:$A$1001,customers!$C$1:$C$1001,,0),IF(_xlpm.val=0,"",_xlpm.val))</f>
        <v/>
      </c>
      <c r="H972" s="2" t="str">
        <f>_xlfn.LET(_xlpm.val,_xlfn.XLOOKUP(C972,customers!$A$1:$A$1001,customers!$G$1:$G$1001,,0),IF(_xlpm.val=0,"",_xlpm.val))</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cm="1">
        <f t="array" ref="N972">_xlfn.SWITCH(I972,"rob","Robusta","exc","Excelsa","Ara","Arabica","Lib","Liberica","")</f>
        <v>Excelsa</v>
      </c>
      <c r="O972" t="str" cm="1">
        <f t="array" ref="O972">_xlfn.SWITCH(J972,"M","Medium","D","Dark","L","Light")</f>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_xlfn.LET(_xlpm.val,_xlfn.XLOOKUP(C973,customers!$A$1:$A$1001,customers!$C$1:$C$1001,,0),IF(_xlpm.val=0,"",_xlpm.val))</f>
        <v>nfurberqz@jugem.jp</v>
      </c>
      <c r="H973" s="2" t="str">
        <f>_xlfn.LET(_xlpm.val,_xlfn.XLOOKUP(C973,customers!$A$1:$A$1001,customers!$G$1:$G$1001,,0),IF(_xlpm.val=0,"",_xlpm.val))</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cm="1">
        <f t="array" ref="N973">_xlfn.SWITCH(I973,"rob","Robusta","exc","Excelsa","Ara","Arabica","Lib","Liberica","")</f>
        <v>Arabica</v>
      </c>
      <c r="O973" t="str" cm="1">
        <f t="array" ref="O973">_xlfn.SWITCH(J973,"M","Medium","D","Dark","L","Light")</f>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_xlfn.LET(_xlpm.val,_xlfn.XLOOKUP(C974,customers!$A$1:$A$1001,customers!$C$1:$C$1001,,0),IF(_xlpm.val=0,"",_xlpm.val))</f>
        <v/>
      </c>
      <c r="H974" s="2" t="str">
        <f>_xlfn.LET(_xlpm.val,_xlfn.XLOOKUP(C974,customers!$A$1:$A$1001,customers!$G$1:$G$1001,,0),IF(_xlpm.val=0,"",_xlpm.val))</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cm="1">
        <f t="array" ref="N974">_xlfn.SWITCH(I974,"rob","Robusta","exc","Excelsa","Ara","Arabica","Lib","Liberica","")</f>
        <v>Arabica</v>
      </c>
      <c r="O974" t="str" cm="1">
        <f t="array" ref="O974">_xlfn.SWITCH(J974,"M","Medium","D","Dark","L","Light")</f>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_xlfn.LET(_xlpm.val,_xlfn.XLOOKUP(C975,customers!$A$1:$A$1001,customers!$C$1:$C$1001,,0),IF(_xlpm.val=0,"",_xlpm.val))</f>
        <v>ckeaver1@ucoz.com</v>
      </c>
      <c r="H975" s="2" t="str">
        <f>_xlfn.LET(_xlpm.val,_xlfn.XLOOKUP(C975,customers!$A$1:$A$1001,customers!$G$1:$G$1001,,0),IF(_xlpm.val=0,"",_xlpm.val))</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cm="1">
        <f t="array" ref="N975">_xlfn.SWITCH(I975,"rob","Robusta","exc","Excelsa","Ara","Arabica","Lib","Liberica","")</f>
        <v>Liberica</v>
      </c>
      <c r="O975" t="str" cm="1">
        <f t="array" ref="O975">_xlfn.SWITCH(J975,"M","Medium","D","Dark","L","Light")</f>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_xlfn.LET(_xlpm.val,_xlfn.XLOOKUP(C976,customers!$A$1:$A$1001,customers!$C$1:$C$1001,,0),IF(_xlpm.val=0,"",_xlpm.val))</f>
        <v>sroseboroughr2@virginia.edu</v>
      </c>
      <c r="H976" s="2" t="str">
        <f>_xlfn.LET(_xlpm.val,_xlfn.XLOOKUP(C976,customers!$A$1:$A$1001,customers!$G$1:$G$1001,,0),IF(_xlpm.val=0,"",_xlpm.val))</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cm="1">
        <f t="array" ref="N976">_xlfn.SWITCH(I976,"rob","Robusta","exc","Excelsa","Ara","Arabica","Lib","Liberica","")</f>
        <v>Robusta</v>
      </c>
      <c r="O976" t="str" cm="1">
        <f t="array" ref="O976">_xlfn.SWITCH(J976,"M","Medium","D","Dark","L","Light")</f>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_xlfn.LET(_xlpm.val,_xlfn.XLOOKUP(C977,customers!$A$1:$A$1001,customers!$C$1:$C$1001,,0),IF(_xlpm.val=0,"",_xlpm.val))</f>
        <v>ckingwellr3@squarespace.com</v>
      </c>
      <c r="H977" s="2" t="str">
        <f>_xlfn.LET(_xlpm.val,_xlfn.XLOOKUP(C977,customers!$A$1:$A$1001,customers!$G$1:$G$1001,,0),IF(_xlpm.val=0,"",_xlpm.val))</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cm="1">
        <f t="array" ref="N977">_xlfn.SWITCH(I977,"rob","Robusta","exc","Excelsa","Ara","Arabica","Lib","Liberica","")</f>
        <v>Arabica</v>
      </c>
      <c r="O977" t="str" cm="1">
        <f t="array" ref="O977">_xlfn.SWITCH(J977,"M","Medium","D","Dark","L","Light")</f>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_xlfn.LET(_xlpm.val,_xlfn.XLOOKUP(C978,customers!$A$1:$A$1001,customers!$C$1:$C$1001,,0),IF(_xlpm.val=0,"",_xlpm.val))</f>
        <v>kcantor4@gmpg.org</v>
      </c>
      <c r="H978" s="2" t="str">
        <f>_xlfn.LET(_xlpm.val,_xlfn.XLOOKUP(C978,customers!$A$1:$A$1001,customers!$G$1:$G$1001,,0),IF(_xlpm.val=0,"",_xlpm.val))</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cm="1">
        <f t="array" ref="N978">_xlfn.SWITCH(I978,"rob","Robusta","exc","Excelsa","Ara","Arabica","Lib","Liberica","")</f>
        <v>Robusta</v>
      </c>
      <c r="O978" t="str" cm="1">
        <f t="array" ref="O978">_xlfn.SWITCH(J978,"M","Medium","D","Dark","L","Light")</f>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_xlfn.LET(_xlpm.val,_xlfn.XLOOKUP(C979,customers!$A$1:$A$1001,customers!$C$1:$C$1001,,0),IF(_xlpm.val=0,"",_xlpm.val))</f>
        <v>mblakemorer5@nsw.gov.au</v>
      </c>
      <c r="H979" s="2" t="str">
        <f>_xlfn.LET(_xlpm.val,_xlfn.XLOOKUP(C979,customers!$A$1:$A$1001,customers!$G$1:$G$1001,,0),IF(_xlpm.val=0,"",_xlpm.val))</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cm="1">
        <f t="array" ref="N979">_xlfn.SWITCH(I979,"rob","Robusta","exc","Excelsa","Ara","Arabica","Lib","Liberica","")</f>
        <v>Robusta</v>
      </c>
      <c r="O979" t="str" cm="1">
        <f t="array" ref="O979">_xlfn.SWITCH(J979,"M","Medium","D","Dark","L","Light")</f>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_xlfn.LET(_xlpm.val,_xlfn.XLOOKUP(C980,customers!$A$1:$A$1001,customers!$C$1:$C$1001,,0),IF(_xlpm.val=0,"",_xlpm.val))</f>
        <v>ckeaver1@ucoz.com</v>
      </c>
      <c r="H980" s="2" t="str">
        <f>_xlfn.LET(_xlpm.val,_xlfn.XLOOKUP(C980,customers!$A$1:$A$1001,customers!$G$1:$G$1001,,0),IF(_xlpm.val=0,"",_xlpm.val))</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cm="1">
        <f t="array" ref="N980">_xlfn.SWITCH(I980,"rob","Robusta","exc","Excelsa","Ara","Arabica","Lib","Liberica","")</f>
        <v>Arabica</v>
      </c>
      <c r="O980" t="str" cm="1">
        <f t="array" ref="O980">_xlfn.SWITCH(J980,"M","Medium","D","Dark","L","Light")</f>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_xlfn.LET(_xlpm.val,_xlfn.XLOOKUP(C981,customers!$A$1:$A$1001,customers!$C$1:$C$1001,,0),IF(_xlpm.val=0,"",_xlpm.val))</f>
        <v/>
      </c>
      <c r="H981" s="2" t="str">
        <f>_xlfn.LET(_xlpm.val,_xlfn.XLOOKUP(C981,customers!$A$1:$A$1001,customers!$G$1:$G$1001,,0),IF(_xlpm.val=0,"",_xlpm.val))</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cm="1">
        <f t="array" ref="N981">_xlfn.SWITCH(I981,"rob","Robusta","exc","Excelsa","Ara","Arabica","Lib","Liberica","")</f>
        <v>Robusta</v>
      </c>
      <c r="O981" t="str" cm="1">
        <f t="array" ref="O981">_xlfn.SWITCH(J981,"M","Medium","D","Dark","L","Light")</f>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_xlfn.LET(_xlpm.val,_xlfn.XLOOKUP(C982,customers!$A$1:$A$1001,customers!$C$1:$C$1001,,0),IF(_xlpm.val=0,"",_xlpm.val))</f>
        <v/>
      </c>
      <c r="H982" s="2" t="str">
        <f>_xlfn.LET(_xlpm.val,_xlfn.XLOOKUP(C982,customers!$A$1:$A$1001,customers!$G$1:$G$1001,,0),IF(_xlpm.val=0,"",_xlpm.val))</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cm="1">
        <f t="array" ref="N982">_xlfn.SWITCH(I982,"rob","Robusta","exc","Excelsa","Ara","Arabica","Lib","Liberica","")</f>
        <v>Excelsa</v>
      </c>
      <c r="O982" t="str" cm="1">
        <f t="array" ref="O982">_xlfn.SWITCH(J982,"M","Medium","D","Dark","L","Light")</f>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_xlfn.LET(_xlpm.val,_xlfn.XLOOKUP(C983,customers!$A$1:$A$1001,customers!$C$1:$C$1001,,0),IF(_xlpm.val=0,"",_xlpm.val))</f>
        <v>cbernardotr9@wix.com</v>
      </c>
      <c r="H983" s="2" t="str">
        <f>_xlfn.LET(_xlpm.val,_xlfn.XLOOKUP(C983,customers!$A$1:$A$1001,customers!$G$1:$G$1001,,0),IF(_xlpm.val=0,"",_xlpm.val))</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cm="1">
        <f t="array" ref="N983">_xlfn.SWITCH(I983,"rob","Robusta","exc","Excelsa","Ara","Arabica","Lib","Liberica","")</f>
        <v>Excelsa</v>
      </c>
      <c r="O983" t="str" cm="1">
        <f t="array" ref="O983">_xlfn.SWITCH(J983,"M","Medium","D","Dark","L","Light")</f>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_xlfn.LET(_xlpm.val,_xlfn.XLOOKUP(C984,customers!$A$1:$A$1001,customers!$C$1:$C$1001,,0),IF(_xlpm.val=0,"",_xlpm.val))</f>
        <v>kkemeryra@t.co</v>
      </c>
      <c r="H984" s="2" t="str">
        <f>_xlfn.LET(_xlpm.val,_xlfn.XLOOKUP(C984,customers!$A$1:$A$1001,customers!$G$1:$G$1001,,0),IF(_xlpm.val=0,"",_xlpm.val))</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cm="1">
        <f t="array" ref="N984">_xlfn.SWITCH(I984,"rob","Robusta","exc","Excelsa","Ara","Arabica","Lib","Liberica","")</f>
        <v>Robusta</v>
      </c>
      <c r="O984" t="str" cm="1">
        <f t="array" ref="O984">_xlfn.SWITCH(J984,"M","Medium","D","Dark","L","Light")</f>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_xlfn.LET(_xlpm.val,_xlfn.XLOOKUP(C985,customers!$A$1:$A$1001,customers!$C$1:$C$1001,,0),IF(_xlpm.val=0,"",_xlpm.val))</f>
        <v>fparlotrb@forbes.com</v>
      </c>
      <c r="H985" s="2" t="str">
        <f>_xlfn.LET(_xlpm.val,_xlfn.XLOOKUP(C985,customers!$A$1:$A$1001,customers!$G$1:$G$1001,,0),IF(_xlpm.val=0,"",_xlpm.val))</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cm="1">
        <f t="array" ref="N985">_xlfn.SWITCH(I985,"rob","Robusta","exc","Excelsa","Ara","Arabica","Lib","Liberica","")</f>
        <v>Arabica</v>
      </c>
      <c r="O985" t="str" cm="1">
        <f t="array" ref="O985">_xlfn.SWITCH(J985,"M","Medium","D","Dark","L","Light")</f>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_xlfn.LET(_xlpm.val,_xlfn.XLOOKUP(C986,customers!$A$1:$A$1001,customers!$C$1:$C$1001,,0),IF(_xlpm.val=0,"",_xlpm.val))</f>
        <v>rcheakrc@tripadvisor.com</v>
      </c>
      <c r="H986" s="2" t="str">
        <f>_xlfn.LET(_xlpm.val,_xlfn.XLOOKUP(C986,customers!$A$1:$A$1001,customers!$G$1:$G$1001,,0),IF(_xlpm.val=0,"",_xlpm.val))</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cm="1">
        <f t="array" ref="N986">_xlfn.SWITCH(I986,"rob","Robusta","exc","Excelsa","Ara","Arabica","Lib","Liberica","")</f>
        <v>Excelsa</v>
      </c>
      <c r="O986" t="str" cm="1">
        <f t="array" ref="O986">_xlfn.SWITCH(J986,"M","Medium","D","Dark","L","Light")</f>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_xlfn.LET(_xlpm.val,_xlfn.XLOOKUP(C987,customers!$A$1:$A$1001,customers!$C$1:$C$1001,,0),IF(_xlpm.val=0,"",_xlpm.val))</f>
        <v>kogeneayrd@utexas.edu</v>
      </c>
      <c r="H987" s="2" t="str">
        <f>_xlfn.LET(_xlpm.val,_xlfn.XLOOKUP(C987,customers!$A$1:$A$1001,customers!$G$1:$G$1001,,0),IF(_xlpm.val=0,"",_xlpm.val))</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cm="1">
        <f t="array" ref="N987">_xlfn.SWITCH(I987,"rob","Robusta","exc","Excelsa","Ara","Arabica","Lib","Liberica","")</f>
        <v>Robusta</v>
      </c>
      <c r="O987" t="str" cm="1">
        <f t="array" ref="O987">_xlfn.SWITCH(J987,"M","Medium","D","Dark","L","Light")</f>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_xlfn.LET(_xlpm.val,_xlfn.XLOOKUP(C988,customers!$A$1:$A$1001,customers!$C$1:$C$1001,,0),IF(_xlpm.val=0,"",_xlpm.val))</f>
        <v>cayrere@symantec.com</v>
      </c>
      <c r="H988" s="2" t="str">
        <f>_xlfn.LET(_xlpm.val,_xlfn.XLOOKUP(C988,customers!$A$1:$A$1001,customers!$G$1:$G$1001,,0),IF(_xlpm.val=0,"",_xlpm.val))</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cm="1">
        <f t="array" ref="N988">_xlfn.SWITCH(I988,"rob","Robusta","exc","Excelsa","Ara","Arabica","Lib","Liberica","")</f>
        <v>Liberica</v>
      </c>
      <c r="O988" t="str" cm="1">
        <f t="array" ref="O988">_xlfn.SWITCH(J988,"M","Medium","D","Dark","L","Light")</f>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_xlfn.LET(_xlpm.val,_xlfn.XLOOKUP(C989,customers!$A$1:$A$1001,customers!$C$1:$C$1001,,0),IF(_xlpm.val=0,"",_xlpm.val))</f>
        <v>lkynetonrf@macromedia.com</v>
      </c>
      <c r="H989" s="2" t="str">
        <f>_xlfn.LET(_xlpm.val,_xlfn.XLOOKUP(C989,customers!$A$1:$A$1001,customers!$G$1:$G$1001,,0),IF(_xlpm.val=0,"",_xlpm.val))</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cm="1">
        <f t="array" ref="N989">_xlfn.SWITCH(I989,"rob","Robusta","exc","Excelsa","Ara","Arabica","Lib","Liberica","")</f>
        <v>Arabica</v>
      </c>
      <c r="O989" t="str" cm="1">
        <f t="array" ref="O989">_xlfn.SWITCH(J989,"M","Medium","D","Dark","L","Light")</f>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_xlfn.LET(_xlpm.val,_xlfn.XLOOKUP(C990,customers!$A$1:$A$1001,customers!$C$1:$C$1001,,0),IF(_xlpm.val=0,"",_xlpm.val))</f>
        <v/>
      </c>
      <c r="H990" s="2" t="str">
        <f>_xlfn.LET(_xlpm.val,_xlfn.XLOOKUP(C990,customers!$A$1:$A$1001,customers!$G$1:$G$1001,,0),IF(_xlpm.val=0,"",_xlpm.val))</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cm="1">
        <f t="array" ref="N990">_xlfn.SWITCH(I990,"rob","Robusta","exc","Excelsa","Ara","Arabica","Lib","Liberica","")</f>
        <v>Robusta</v>
      </c>
      <c r="O990" t="str" cm="1">
        <f t="array" ref="O990">_xlfn.SWITCH(J990,"M","Medium","D","Dark","L","Light")</f>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_xlfn.LET(_xlpm.val,_xlfn.XLOOKUP(C991,customers!$A$1:$A$1001,customers!$C$1:$C$1001,,0),IF(_xlpm.val=0,"",_xlpm.val))</f>
        <v/>
      </c>
      <c r="H991" s="2" t="str">
        <f>_xlfn.LET(_xlpm.val,_xlfn.XLOOKUP(C991,customers!$A$1:$A$1001,customers!$G$1:$G$1001,,0),IF(_xlpm.val=0,"",_xlpm.val))</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cm="1">
        <f t="array" ref="N991">_xlfn.SWITCH(I991,"rob","Robusta","exc","Excelsa","Ara","Arabica","Lib","Liberica","")</f>
        <v>Arabica</v>
      </c>
      <c r="O991" t="str" cm="1">
        <f t="array" ref="O991">_xlfn.SWITCH(J991,"M","Medium","D","Dark","L","Light")</f>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_xlfn.LET(_xlpm.val,_xlfn.XLOOKUP(C992,customers!$A$1:$A$1001,customers!$C$1:$C$1001,,0),IF(_xlpm.val=0,"",_xlpm.val))</f>
        <v/>
      </c>
      <c r="H992" s="2" t="str">
        <f>_xlfn.LET(_xlpm.val,_xlfn.XLOOKUP(C992,customers!$A$1:$A$1001,customers!$G$1:$G$1001,,0),IF(_xlpm.val=0,"",_xlpm.val))</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cm="1">
        <f t="array" ref="N992">_xlfn.SWITCH(I992,"rob","Robusta","exc","Excelsa","Ara","Arabica","Lib","Liberica","")</f>
        <v>Excelsa</v>
      </c>
      <c r="O992" t="str" cm="1">
        <f t="array" ref="O992">_xlfn.SWITCH(J992,"M","Medium","D","Dark","L","Light")</f>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_xlfn.LET(_xlpm.val,_xlfn.XLOOKUP(C993,customers!$A$1:$A$1001,customers!$C$1:$C$1001,,0),IF(_xlpm.val=0,"",_xlpm.val))</f>
        <v/>
      </c>
      <c r="H993" s="2" t="str">
        <f>_xlfn.LET(_xlpm.val,_xlfn.XLOOKUP(C993,customers!$A$1:$A$1001,customers!$G$1:$G$1001,,0),IF(_xlpm.val=0,"",_xlpm.val))</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cm="1">
        <f t="array" ref="N993">_xlfn.SWITCH(I993,"rob","Robusta","exc","Excelsa","Ara","Arabica","Lib","Liberica","")</f>
        <v>Liberica</v>
      </c>
      <c r="O993" t="str" cm="1">
        <f t="array" ref="O993">_xlfn.SWITCH(J993,"M","Medium","D","Dark","L","Light")</f>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_xlfn.LET(_xlpm.val,_xlfn.XLOOKUP(C994,customers!$A$1:$A$1001,customers!$C$1:$C$1001,,0),IF(_xlpm.val=0,"",_xlpm.val))</f>
        <v/>
      </c>
      <c r="H994" s="2" t="str">
        <f>_xlfn.LET(_xlpm.val,_xlfn.XLOOKUP(C994,customers!$A$1:$A$1001,customers!$G$1:$G$1001,,0),IF(_xlpm.val=0,"",_xlpm.val))</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cm="1">
        <f t="array" ref="N994">_xlfn.SWITCH(I994,"rob","Robusta","exc","Excelsa","Ara","Arabica","Lib","Liberica","")</f>
        <v>Liberica</v>
      </c>
      <c r="O994" t="str" cm="1">
        <f t="array" ref="O994">_xlfn.SWITCH(J994,"M","Medium","D","Dark","L","Light")</f>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_xlfn.LET(_xlpm.val,_xlfn.XLOOKUP(C995,customers!$A$1:$A$1001,customers!$C$1:$C$1001,,0),IF(_xlpm.val=0,"",_xlpm.val))</f>
        <v/>
      </c>
      <c r="H995" s="2" t="str">
        <f>_xlfn.LET(_xlpm.val,_xlfn.XLOOKUP(C995,customers!$A$1:$A$1001,customers!$G$1:$G$1001,,0),IF(_xlpm.val=0,"",_xlpm.val))</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cm="1">
        <f t="array" ref="N995">_xlfn.SWITCH(I995,"rob","Robusta","exc","Excelsa","Ara","Arabica","Lib","Liberica","")</f>
        <v>Arabica</v>
      </c>
      <c r="O995" t="str" cm="1">
        <f t="array" ref="O995">_xlfn.SWITCH(J995,"M","Medium","D","Dark","L","Light")</f>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_xlfn.LET(_xlpm.val,_xlfn.XLOOKUP(C996,customers!$A$1:$A$1001,customers!$C$1:$C$1001,,0),IF(_xlpm.val=0,"",_xlpm.val))</f>
        <v/>
      </c>
      <c r="H996" s="2" t="str">
        <f>_xlfn.LET(_xlpm.val,_xlfn.XLOOKUP(C996,customers!$A$1:$A$1001,customers!$G$1:$G$1001,,0),IF(_xlpm.val=0,"",_xlpm.val))</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cm="1">
        <f t="array" ref="N996">_xlfn.SWITCH(I996,"rob","Robusta","exc","Excelsa","Ara","Arabica","Lib","Liberica","")</f>
        <v>Arabica</v>
      </c>
      <c r="O996" t="str" cm="1">
        <f t="array" ref="O996">_xlfn.SWITCH(J996,"M","Medium","D","Dark","L","Light")</f>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_xlfn.LET(_xlpm.val,_xlfn.XLOOKUP(C997,customers!$A$1:$A$1001,customers!$C$1:$C$1001,,0),IF(_xlpm.val=0,"",_xlpm.val))</f>
        <v>jtewelsonrn@samsung.com</v>
      </c>
      <c r="H997" s="2" t="str">
        <f>_xlfn.LET(_xlpm.val,_xlfn.XLOOKUP(C997,customers!$A$1:$A$1001,customers!$G$1:$G$1001,,0),IF(_xlpm.val=0,"",_xlpm.val))</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cm="1">
        <f t="array" ref="N997">_xlfn.SWITCH(I997,"rob","Robusta","exc","Excelsa","Ara","Arabica","Lib","Liberica","")</f>
        <v>Robusta</v>
      </c>
      <c r="O997" t="str" cm="1">
        <f t="array" ref="O997">_xlfn.SWITCH(J997,"M","Medium","D","Dark","L","Light")</f>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_xlfn.LET(_xlpm.val,_xlfn.XLOOKUP(C998,customers!$A$1:$A$1001,customers!$C$1:$C$1001,,0),IF(_xlpm.val=0,"",_xlpm.val))</f>
        <v/>
      </c>
      <c r="H998" s="2" t="str">
        <f>_xlfn.LET(_xlpm.val,_xlfn.XLOOKUP(C998,customers!$A$1:$A$1001,customers!$G$1:$G$1001,,0),IF(_xlpm.val=0,"",_xlpm.val))</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cm="1">
        <f t="array" ref="N998">_xlfn.SWITCH(I998,"rob","Robusta","exc","Excelsa","Ara","Arabica","Lib","Liberica","")</f>
        <v>Robusta</v>
      </c>
      <c r="O998" t="str" cm="1">
        <f t="array" ref="O998">_xlfn.SWITCH(J998,"M","Medium","D","Dark","L","Light")</f>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_xlfn.LET(_xlpm.val,_xlfn.XLOOKUP(C999,customers!$A$1:$A$1001,customers!$C$1:$C$1001,,0),IF(_xlpm.val=0,"",_xlpm.val))</f>
        <v/>
      </c>
      <c r="H999" s="2" t="str">
        <f>_xlfn.LET(_xlpm.val,_xlfn.XLOOKUP(C999,customers!$A$1:$A$1001,customers!$G$1:$G$1001,,0),IF(_xlpm.val=0,"",_xlpm.val))</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cm="1">
        <f t="array" ref="N999">_xlfn.SWITCH(I999,"rob","Robusta","exc","Excelsa","Ara","Arabica","Lib","Liberica","")</f>
        <v>Arabica</v>
      </c>
      <c r="O999" t="str" cm="1">
        <f t="array" ref="O999">_xlfn.SWITCH(J999,"M","Medium","D","Dark","L","Light")</f>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_xlfn.LET(_xlpm.val,_xlfn.XLOOKUP(C1000,customers!$A$1:$A$1001,customers!$C$1:$C$1001,,0),IF(_xlpm.val=0,"",_xlpm.val))</f>
        <v>njennyrq@bigcartel.com</v>
      </c>
      <c r="H1000" s="2" t="str">
        <f>_xlfn.LET(_xlpm.val,_xlfn.XLOOKUP(C1000,customers!$A$1:$A$1001,customers!$G$1:$G$1001,,0),IF(_xlpm.val=0,"",_xlpm.val))</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_xlfn.SWITCH(I1000,"rob","Robusta","exc","Excelsa","Ara","Arabica","Lib","Liberica","")</f>
        <v>Arabica</v>
      </c>
      <c r="O1000" t="str" cm="1">
        <f t="array" ref="O1000">_xlfn.SWITCH(J1000,"M","Medium","D","Dark","L","Light")</f>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_xlfn.LET(_xlpm.val,_xlfn.XLOOKUP(C1001,customers!$A$1:$A$1001,customers!$C$1:$C$1001,,0),IF(_xlpm.val=0,"",_xlpm.val))</f>
        <v/>
      </c>
      <c r="H1001" s="2" t="str">
        <f>_xlfn.LET(_xlpm.val,_xlfn.XLOOKUP(C1001,customers!$A$1:$A$1001,customers!$G$1:$G$1001,,0),IF(_xlpm.val=0,"",_xlpm.val))</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cm="1">
        <f t="array" ref="N1001">_xlfn.SWITCH(I1001,"rob","Robusta","exc","Excelsa","Ara","Arabica","Lib","Liberica","")</f>
        <v>Excelsa</v>
      </c>
      <c r="O1001" t="str" cm="1">
        <f t="array" ref="O1001">_xlfn.SWITCH(J1001,"M","Medium","D","Dark","L","Light")</f>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47" workbookViewId="0">
      <selection activeCell="I974" sqref="I974"/>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7" sqref="C7"/>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 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nikhil rattu</cp:lastModifiedBy>
  <cp:revision/>
  <dcterms:created xsi:type="dcterms:W3CDTF">2022-11-26T09:51:45Z</dcterms:created>
  <dcterms:modified xsi:type="dcterms:W3CDTF">2026-04-08T16:19:05Z</dcterms:modified>
  <cp:category/>
  <cp:contentStatus/>
</cp:coreProperties>
</file>